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53.xml" ContentType="application/vnd.openxmlformats-officedocument.spreadsheetml.worksheet+xml"/>
  <Override PartName="/xl/tables/table4.xml" ContentType="application/vnd.openxmlformats-officedocument.spreadsheetml.table+xml"/>
  <Override PartName="/xl/tables/table25.xml" ContentType="application/vnd.openxmlformats-officedocument.spreadsheetml.table+xml"/>
  <Override PartName="/xl/tables/table43.xml" ContentType="application/vnd.openxmlformats-officedocument.spreadsheetml.table+xml"/>
  <Override PartName="/xl/worksheets/sheet13.xml" ContentType="application/vnd.openxmlformats-officedocument.spreadsheetml.worksheet+xml"/>
  <Override PartName="/xl/worksheets/sheet42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tables/table14.xml" ContentType="application/vnd.openxmlformats-officedocument.spreadsheetml.table+xml"/>
  <Override PartName="/xl/tables/table32.xml" ContentType="application/vnd.openxmlformats-officedocument.spreadsheetml.table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tables/table21.xml" ContentType="application/vnd.openxmlformats-officedocument.spreadsheetml.table+xml"/>
  <Override PartName="/xl/vbaProject.bin" ContentType="application/vnd.ms-office.vbaProject"/>
  <Default Extension="xml" ContentType="application/xml"/>
  <Override PartName="/xl/tables/table10.xml" ContentType="application/vnd.openxmlformats-officedocument.spreadsheetml.table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tables/table9.xml" ContentType="application/vnd.openxmlformats-officedocument.spreadsheetml.table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19.xml" ContentType="application/vnd.openxmlformats-officedocument.spreadsheetml.table+xml"/>
  <Override PartName="/xl/tables/table39.xml" ContentType="application/vnd.openxmlformats-officedocument.spreadsheetml.table+xml"/>
  <Override PartName="/xl/tables/table48.xml" ContentType="application/vnd.openxmlformats-officedocument.spreadsheetml.table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45.xml" ContentType="application/vnd.openxmlformats-officedocument.spreadsheetml.worksheet+xml"/>
  <Override PartName="/xl/worksheets/sheet54.xml" ContentType="application/vnd.openxmlformats-officedocument.spreadsheetml.worksheet+xml"/>
  <Override PartName="/xl/worksheets/sheet56.xml" ContentType="application/vnd.openxmlformats-officedocument.spreadsheetml.worksheet+xml"/>
  <Override PartName="/xl/tables/table5.xml" ContentType="application/vnd.openxmlformats-officedocument.spreadsheetml.table+xml"/>
  <Override PartName="/xl/tables/table17.xml" ContentType="application/vnd.openxmlformats-officedocument.spreadsheetml.table+xml"/>
  <Override PartName="/xl/tables/table26.xml" ContentType="application/vnd.openxmlformats-officedocument.spreadsheetml.table+xml"/>
  <Override PartName="/xl/tables/table28.xml" ContentType="application/vnd.openxmlformats-officedocument.spreadsheetml.table+xml"/>
  <Override PartName="/xl/tables/table37.xml" ContentType="application/vnd.openxmlformats-officedocument.spreadsheetml.table+xml"/>
  <Override PartName="/xl/tables/table46.xml" ContentType="application/vnd.openxmlformats-officedocument.spreadsheetml.table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Override PartName="/xl/worksheets/sheet52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tables/table44.xml" ContentType="application/vnd.openxmlformats-officedocument.spreadsheetml.table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worksheets/sheet50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tables/table42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tables/table40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59.xml" ContentType="application/vnd.openxmlformats-officedocument.spreadsheetml.worksheet+xml"/>
  <Default Extension="vml" ContentType="application/vnd.openxmlformats-officedocument.vmlDrawing"/>
  <Override PartName="/xl/tables/table49.xml" ContentType="application/vnd.openxmlformats-officedocument.spreadsheetml.table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8.xml" ContentType="application/vnd.openxmlformats-officedocument.spreadsheetml.worksheet+xml"/>
  <Override PartName="/xl/worksheets/sheet57.xml" ContentType="application/vnd.openxmlformats-officedocument.spreadsheetml.worksheet+xml"/>
  <Override PartName="/xl/tables/table8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47.xml" ContentType="application/vnd.openxmlformats-officedocument.spreadsheetml.table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6.xml" ContentType="application/vnd.openxmlformats-officedocument.spreadsheetml.worksheet+xml"/>
  <Override PartName="/xl/worksheets/sheet55.xml" ContentType="application/vnd.openxmlformats-officedocument.spreadsheetml.worksheet+xml"/>
  <Override PartName="/xl/tables/table6.xml" ContentType="application/vnd.openxmlformats-officedocument.spreadsheetml.table+xml"/>
  <Override PartName="/xl/tables/table18.xml" ContentType="application/vnd.openxmlformats-officedocument.spreadsheetml.table+xml"/>
  <Override PartName="/xl/tables/table27.xml" ContentType="application/vnd.openxmlformats-officedocument.spreadsheetml.table+xml"/>
  <Override PartName="/xl/tables/table36.xml" ContentType="application/vnd.openxmlformats-officedocument.spreadsheetml.table+xml"/>
  <Override PartName="/xl/tables/table45.xml" ContentType="application/vnd.openxmlformats-officedocument.spreadsheetml.table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worksheets/sheet44.xml" ContentType="application/vnd.openxmlformats-officedocument.spreadsheetml.worksheet+xml"/>
  <Override PartName="/xl/tables/table16.xml" ContentType="application/vnd.openxmlformats-officedocument.spreadsheetml.table+xml"/>
  <Override PartName="/xl/tables/table34.xml" ContentType="application/vnd.openxmlformats-officedocument.spreadsheetml.table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tables/table2.xml" ContentType="application/vnd.openxmlformats-officedocument.spreadsheetml.table+xml"/>
  <Override PartName="/xl/tables/table23.xml" ContentType="application/vnd.openxmlformats-officedocument.spreadsheetml.table+xml"/>
  <Override PartName="/xl/tables/table41.xml" ContentType="application/vnd.openxmlformats-officedocument.spreadsheetml.table+xml"/>
  <Override PartName="/xl/worksheets/sheet11.xml" ContentType="application/vnd.openxmlformats-officedocument.spreadsheetml.worksheet+xml"/>
  <Override PartName="/xl/worksheets/sheet40.xml" ContentType="application/vnd.openxmlformats-officedocument.spreadsheetml.worksheet+xml"/>
  <Override PartName="/xl/tables/table12.xml" ContentType="application/vnd.openxmlformats-officedocument.spreadsheetml.table+xml"/>
  <Override PartName="/xl/tables/table30.xml" ContentType="application/vnd.openxmlformats-officedocument.spreadsheetml.table+xml"/>
  <Default Extension="rels" ContentType="application/vnd.openxmlformats-package.relationships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120" yWindow="45" windowWidth="15480" windowHeight="11640"/>
  </bookViews>
  <sheets>
    <sheet name="resumo" sheetId="4" r:id="rId1"/>
    <sheet name="contador" sheetId="5" r:id="rId2"/>
    <sheet name="swap1" sheetId="6" r:id="rId3"/>
    <sheet name="lib1" sheetId="7" r:id="rId4"/>
    <sheet name="swap2" sheetId="8" r:id="rId5"/>
    <sheet name="lib2" sheetId="9" r:id="rId6"/>
    <sheet name="swap3" sheetId="10" r:id="rId7"/>
    <sheet name="lib3" sheetId="11" r:id="rId8"/>
    <sheet name="swap4" sheetId="12" r:id="rId9"/>
    <sheet name="lib4" sheetId="13" r:id="rId10"/>
    <sheet name="swap5" sheetId="14" r:id="rId11"/>
    <sheet name="lib5" sheetId="15" r:id="rId12"/>
    <sheet name="swap6" sheetId="16" r:id="rId13"/>
    <sheet name="lib6" sheetId="17" r:id="rId14"/>
    <sheet name="swap8" sheetId="18" r:id="rId15"/>
    <sheet name="lib8" sheetId="19" r:id="rId16"/>
    <sheet name="swap9" sheetId="20" r:id="rId17"/>
    <sheet name="lib9" sheetId="21" r:id="rId18"/>
    <sheet name="swap10" sheetId="22" r:id="rId19"/>
    <sheet name="lib10" sheetId="23" r:id="rId20"/>
    <sheet name="swap11" sheetId="24" r:id="rId21"/>
    <sheet name="lib11" sheetId="25" r:id="rId22"/>
    <sheet name="swap12" sheetId="26" r:id="rId23"/>
    <sheet name="lib12" sheetId="27" r:id="rId24"/>
    <sheet name="swap13" sheetId="28" r:id="rId25"/>
    <sheet name="lib13" sheetId="29" r:id="rId26"/>
    <sheet name="swap14" sheetId="30" r:id="rId27"/>
    <sheet name="lib14" sheetId="31" r:id="rId28"/>
    <sheet name="swap15" sheetId="32" r:id="rId29"/>
    <sheet name="lib15" sheetId="33" r:id="rId30"/>
    <sheet name="swap16" sheetId="34" r:id="rId31"/>
    <sheet name="lib16" sheetId="35" r:id="rId32"/>
    <sheet name="swap17" sheetId="36" r:id="rId33"/>
    <sheet name="lib17" sheetId="37" r:id="rId34"/>
    <sheet name="swap18" sheetId="38" r:id="rId35"/>
    <sheet name="lib18" sheetId="39" r:id="rId36"/>
    <sheet name="swap19" sheetId="40" r:id="rId37"/>
    <sheet name="lib19" sheetId="41" r:id="rId38"/>
    <sheet name="swap20" sheetId="42" r:id="rId39"/>
    <sheet name="lib20" sheetId="43" r:id="rId40"/>
    <sheet name="swap21" sheetId="44" r:id="rId41"/>
    <sheet name="lib21" sheetId="45" r:id="rId42"/>
    <sheet name="swap22" sheetId="46" r:id="rId43"/>
    <sheet name="lib22" sheetId="47" r:id="rId44"/>
    <sheet name="swap23" sheetId="48" r:id="rId45"/>
    <sheet name="lib23" sheetId="49" r:id="rId46"/>
    <sheet name="swap24" sheetId="50" r:id="rId47"/>
    <sheet name="lib24" sheetId="51" r:id="rId48"/>
    <sheet name="swap25" sheetId="52" r:id="rId49"/>
    <sheet name="lib25" sheetId="53" r:id="rId50"/>
    <sheet name="swap26" sheetId="54" r:id="rId51"/>
    <sheet name="lib26" sheetId="55" r:id="rId52"/>
    <sheet name="swap27" sheetId="56" r:id="rId53"/>
    <sheet name="lib27" sheetId="57" r:id="rId54"/>
    <sheet name="swap28" sheetId="58" r:id="rId55"/>
    <sheet name="lib28" sheetId="59" r:id="rId56"/>
    <sheet name="swap29" sheetId="60" r:id="rId57"/>
    <sheet name="lib29" sheetId="61" r:id="rId58"/>
    <sheet name="swap30" sheetId="62" r:id="rId59"/>
    <sheet name="lib30" sheetId="63" r:id="rId60"/>
  </sheets>
  <definedNames>
    <definedName name="_xlnm._FilterDatabase" localSheetId="0" hidden="1">resumo!$I$6:$K$6</definedName>
  </definedNames>
  <calcPr calcId="125725"/>
</workbook>
</file>

<file path=xl/calcChain.xml><?xml version="1.0" encoding="utf-8"?>
<calcChain xmlns="http://schemas.openxmlformats.org/spreadsheetml/2006/main">
  <c r="U12" i="4"/>
  <c r="U11"/>
  <c r="U10"/>
  <c r="U9"/>
  <c r="U8"/>
  <c r="U7"/>
  <c r="S14"/>
  <c r="S13"/>
  <c r="S12"/>
  <c r="S11"/>
  <c r="S10"/>
  <c r="S9"/>
  <c r="S8"/>
  <c r="S7"/>
  <c r="O26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K14"/>
  <c r="K13"/>
  <c r="K12"/>
  <c r="K11"/>
  <c r="K10"/>
  <c r="K9"/>
  <c r="K8"/>
  <c r="K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F14"/>
  <c r="F13"/>
  <c r="F12"/>
  <c r="F11"/>
  <c r="CT11" i="5" l="1"/>
  <c r="CU11"/>
  <c r="CV11"/>
  <c r="CW11"/>
  <c r="CX11"/>
  <c r="CY11"/>
  <c r="CZ11"/>
  <c r="DA11"/>
  <c r="DB11"/>
  <c r="DC11"/>
  <c r="DD11"/>
  <c r="DE11"/>
  <c r="DF11"/>
  <c r="DG11"/>
  <c r="DH11"/>
  <c r="DI11"/>
  <c r="DJ11"/>
  <c r="DK11"/>
  <c r="DL11"/>
  <c r="DM11"/>
  <c r="DN11"/>
  <c r="CK11"/>
  <c r="CL11"/>
  <c r="CM11"/>
  <c r="CN11"/>
  <c r="CO11"/>
  <c r="CP11"/>
  <c r="CQ11"/>
  <c r="CR11"/>
  <c r="CS11"/>
  <c r="C8" i="4" l="1"/>
  <c r="D36" s="1"/>
  <c r="CA11" i="5"/>
  <c r="CB11"/>
  <c r="CC11"/>
  <c r="CD11"/>
  <c r="CE11"/>
  <c r="CF11"/>
  <c r="CG11"/>
  <c r="CH11"/>
  <c r="CI11"/>
  <c r="CJ11"/>
  <c r="D35" i="4" l="1"/>
  <c r="D34" l="1"/>
  <c r="BB11" i="5"/>
  <c r="BC11"/>
  <c r="BD11"/>
  <c r="BE11"/>
  <c r="BF11"/>
  <c r="BG11"/>
  <c r="BH11"/>
  <c r="BI11"/>
  <c r="BJ11"/>
  <c r="BK11"/>
  <c r="BL11"/>
  <c r="BM11"/>
  <c r="BN11"/>
  <c r="BO11"/>
  <c r="BP11"/>
  <c r="BQ11"/>
  <c r="BR11"/>
  <c r="BS11"/>
  <c r="BT11"/>
  <c r="BU11"/>
  <c r="BV11"/>
  <c r="BW11"/>
  <c r="BX11"/>
  <c r="BY11"/>
  <c r="BZ11"/>
  <c r="D33" i="4" l="1"/>
  <c r="D32" l="1"/>
  <c r="D10" i="5" l="1"/>
  <c r="D9"/>
  <c r="D7"/>
  <c r="D6"/>
  <c r="D4"/>
  <c r="AQ11"/>
  <c r="AR11"/>
  <c r="AS11"/>
  <c r="AT11"/>
  <c r="AU11"/>
  <c r="AV11"/>
  <c r="AW11"/>
  <c r="AX11"/>
  <c r="AY11"/>
  <c r="AZ11"/>
  <c r="BA11"/>
  <c r="D31" i="4" l="1"/>
  <c r="AG11" i="5" l="1"/>
  <c r="AH11"/>
  <c r="AI11"/>
  <c r="AJ11"/>
  <c r="AK11"/>
  <c r="AL11"/>
  <c r="AM11"/>
  <c r="AN11"/>
  <c r="AO11"/>
  <c r="AP11"/>
  <c r="AA11" l="1"/>
  <c r="AB11"/>
  <c r="AC11"/>
  <c r="AD11"/>
  <c r="AE11"/>
  <c r="AF11"/>
  <c r="D30" i="4" l="1"/>
  <c r="Q11" i="5"/>
  <c r="R11"/>
  <c r="S11"/>
  <c r="T11"/>
  <c r="U11"/>
  <c r="V11"/>
  <c r="W11"/>
  <c r="X11"/>
  <c r="Y11"/>
  <c r="Z11"/>
  <c r="P11"/>
  <c r="O11"/>
  <c r="D29" i="4" l="1"/>
  <c r="D28"/>
  <c r="D27"/>
  <c r="C5"/>
  <c r="N11" i="5" l="1"/>
  <c r="M11"/>
  <c r="F11" l="1"/>
  <c r="G11"/>
  <c r="H11"/>
  <c r="I11"/>
  <c r="J11"/>
  <c r="K11"/>
  <c r="L11"/>
  <c r="E11"/>
  <c r="B9" l="1"/>
  <c r="B6"/>
  <c r="B10"/>
  <c r="B7"/>
  <c r="B4"/>
  <c r="B11" l="1"/>
  <c r="D26" i="4" l="1"/>
  <c r="G8"/>
  <c r="D13" l="1"/>
  <c r="D25"/>
  <c r="D15"/>
  <c r="D21"/>
  <c r="D11"/>
  <c r="D23"/>
  <c r="D17"/>
  <c r="D19"/>
  <c r="D14"/>
  <c r="D16"/>
  <c r="D22"/>
  <c r="D18"/>
  <c r="D12"/>
  <c r="D24"/>
  <c r="D20"/>
</calcChain>
</file>

<file path=xl/sharedStrings.xml><?xml version="1.0" encoding="utf-8"?>
<sst xmlns="http://schemas.openxmlformats.org/spreadsheetml/2006/main" count="15450" uniqueCount="1501">
  <si>
    <t>100 AGENDAMENTO NAO CUMPRIDO</t>
  </si>
  <si>
    <t>101 ENDERECO NAO LOCALIZADO</t>
  </si>
  <si>
    <t>105 SEM ENERGIA ELETRICA NA REGIAO / PREDIO</t>
  </si>
  <si>
    <t>106 CLIENTE AUSENTE</t>
  </si>
  <si>
    <t>107 ENTRADA NAO AUTORIZADA</t>
  </si>
  <si>
    <t>110 PROBLEMA NA TUBULACAO</t>
  </si>
  <si>
    <t>27-REAGENDAMENTO - SOLICITADO PELO ASSINANTE</t>
  </si>
  <si>
    <t>301 TIPO DE OS INCORRETA</t>
  </si>
  <si>
    <t>302-Desistência da Assinatura / Servico</t>
  </si>
  <si>
    <t>303 FORMA DE INSTALACAO NAO ACEITA PELO CLIENTE</t>
  </si>
  <si>
    <t>312 CLIENTE NAO SOLICITOU O SERVICO</t>
  </si>
  <si>
    <t>312-Cliente não solicitou serviço</t>
  </si>
  <si>
    <t>447 NECESSARIO REFAZER CABEAMENTO</t>
  </si>
  <si>
    <t>70-DESITENCIA DO SERVICO</t>
  </si>
  <si>
    <t>Liberações</t>
  </si>
  <si>
    <t>Motivo</t>
  </si>
  <si>
    <t>quantidade</t>
  </si>
  <si>
    <t>Total</t>
  </si>
  <si>
    <t>Porcentagem</t>
  </si>
  <si>
    <t>Swap</t>
  </si>
  <si>
    <t>Descritivo</t>
  </si>
  <si>
    <t>total geral:</t>
  </si>
  <si>
    <t>Baixadas</t>
  </si>
  <si>
    <t>Código</t>
  </si>
  <si>
    <t>Reagendadas</t>
  </si>
  <si>
    <t>Data Ag.</t>
  </si>
  <si>
    <t>Data de Ag.</t>
  </si>
  <si>
    <t>cancelada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</si>
  <si>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</si>
  <si>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</si>
  <si>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</si>
  <si>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</si>
  <si>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</si>
  <si>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</si>
  <si>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</si>
  <si>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</si>
  <si>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</si>
  <si>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</si>
  <si>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</si>
  <si>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</si>
  <si>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TOP</t>
  </si>
  <si>
    <t>INTERMEDIÁRIO</t>
  </si>
  <si>
    <t>BÁSICO</t>
  </si>
  <si>
    <t>Premium</t>
  </si>
  <si>
    <t>Mini Básico</t>
  </si>
  <si>
    <t>Premier</t>
  </si>
  <si>
    <t>Maxi</t>
  </si>
  <si>
    <t>S. Maxi</t>
  </si>
  <si>
    <t>ult. Contagem</t>
  </si>
  <si>
    <t>soma feitos</t>
  </si>
  <si>
    <t>Abril</t>
  </si>
  <si>
    <t>RESTANTE:</t>
  </si>
  <si>
    <t>SUPER MAXI BASICO BIG SD</t>
  </si>
  <si>
    <t>PREMIER BASICO BIG SD</t>
  </si>
  <si>
    <t>SUPER MAXI BIG COLETIVO SD</t>
  </si>
  <si>
    <t>PREMIUM BASICO BIG DNC</t>
  </si>
  <si>
    <t>104 FALTA DE MATERIAL</t>
  </si>
  <si>
    <t>Pacote</t>
  </si>
  <si>
    <t>Qtde.</t>
  </si>
  <si>
    <t>Por tipos de ordem</t>
  </si>
  <si>
    <t>BASE RESTANTE</t>
  </si>
  <si>
    <t>113 SEM TV / COMPUTADOR NA RESIDENCIA</t>
  </si>
  <si>
    <t>Geração:</t>
  </si>
  <si>
    <t>103 CHUVA</t>
  </si>
  <si>
    <t>301-Tipo de OS Incorreta</t>
  </si>
  <si>
    <t>PREMIER BIG COLETIVO SD</t>
  </si>
  <si>
    <t>307 RESIDENCIA EM CONSTRUCAO / REFORMA</t>
  </si>
  <si>
    <t>EXECUTADAS</t>
  </si>
  <si>
    <t>CANCELADAS</t>
  </si>
  <si>
    <t>NAO EXECUTADAS</t>
  </si>
  <si>
    <t>REAGENDADAS</t>
  </si>
  <si>
    <t>Cancelado automaticamente pelo sistema</t>
  </si>
  <si>
    <t>PREMIUM BIG COLETIVO DNC</t>
  </si>
  <si>
    <t>C.A.S. *</t>
  </si>
  <si>
    <t>* CANCELADO AUTOMÁTICAMENTE PELO SISTEMA</t>
  </si>
  <si>
    <t>997 - Cliente nao aceita aguardar</t>
  </si>
  <si>
    <t>603-Cancelado por Ativo / Rede Ext. com Problema</t>
  </si>
  <si>
    <t>203 REDE EXTERNA COM PROBLEMA</t>
  </si>
  <si>
    <t>NAO ENCONTRADO</t>
  </si>
  <si>
    <t>N.E.</t>
  </si>
  <si>
    <t>*NÃO ENCONTRADO</t>
  </si>
  <si>
    <t>112 SEM ACESSO AO DG / SOTAO</t>
  </si>
  <si>
    <t>julho</t>
  </si>
  <si>
    <t>OS_ID</t>
  </si>
  <si>
    <t>DATA_AGENDAMENTO</t>
  </si>
  <si>
    <t>NM_REGIONAL</t>
  </si>
  <si>
    <t>NM_GRUPO</t>
  </si>
  <si>
    <t>NM_CLUSTER</t>
  </si>
  <si>
    <t>NM_SUBCLUSTER</t>
  </si>
  <si>
    <t>NM_CIDADE</t>
  </si>
  <si>
    <t>COD_BAIXA</t>
  </si>
  <si>
    <t>CONTRATO</t>
  </si>
  <si>
    <t>CLASSE_OS</t>
  </si>
  <si>
    <t>TIPO_OS</t>
  </si>
  <si>
    <t>FLAG_CLASSE_OS</t>
  </si>
  <si>
    <t>AREA_DESPACHO</t>
  </si>
  <si>
    <t>FECHAMENTO</t>
  </si>
  <si>
    <t>MOTIVO</t>
  </si>
  <si>
    <t>PRODUTO_DE</t>
  </si>
  <si>
    <t>PRODUTO_PARA</t>
  </si>
  <si>
    <t>USR_BAIXA</t>
  </si>
  <si>
    <t>CANAL_DE_VENDA_CONTRATO</t>
  </si>
  <si>
    <t>VENDEDOR_CONTRATO</t>
  </si>
  <si>
    <t>SEGMENTO</t>
  </si>
  <si>
    <t>EMPRESA_DESPACHO</t>
  </si>
  <si>
    <t>LOGIN_ABERTURA_OS</t>
  </si>
  <si>
    <t>DATA_ATENDIMENTO</t>
  </si>
  <si>
    <t>EMPRESA_EXECUCAO</t>
  </si>
  <si>
    <t>NODE</t>
  </si>
  <si>
    <t>PERFIL</t>
  </si>
  <si>
    <t>1347741859</t>
  </si>
  <si>
    <t>Regional Leste</t>
  </si>
  <si>
    <t>Grupo Leste Interior</t>
  </si>
  <si>
    <t>Cluster Nordeste</t>
  </si>
  <si>
    <t>Não possui</t>
  </si>
  <si>
    <t>João Pessoa</t>
  </si>
  <si>
    <t>409</t>
  </si>
  <si>
    <t>97272</t>
  </si>
  <si>
    <t>MUDA PCOTE</t>
  </si>
  <si>
    <t>MUDANCA DE PACOTE DIGITAL</t>
  </si>
  <si>
    <t>SERVIÇOS</t>
  </si>
  <si>
    <t>AREA JOAO PESSOA</t>
  </si>
  <si>
    <t>EXECUTADA</t>
  </si>
  <si>
    <t>SUPER MAXI BIG DIGTZ BASICO</t>
  </si>
  <si>
    <t>T1725413</t>
  </si>
  <si>
    <t>ATIVO LOCAL</t>
  </si>
  <si>
    <t>ANA PAULA FERREIRA DA SILVA</t>
  </si>
  <si>
    <t>BLUE</t>
  </si>
  <si>
    <t>VIA.COM SERVICE LTDA-ME</t>
  </si>
  <si>
    <t>N5667889</t>
  </si>
  <si>
    <t>28-JUN-13</t>
  </si>
  <si>
    <t>JP07</t>
  </si>
  <si>
    <t>GES_OUTROS_CANAIS_ATENDIMENTO</t>
  </si>
  <si>
    <t>1347823096</t>
  </si>
  <si>
    <t>176219</t>
  </si>
  <si>
    <t>OPS$OSWAP</t>
  </si>
  <si>
    <t>T1746510</t>
  </si>
  <si>
    <t>JP10</t>
  </si>
  <si>
    <t>CRN_OPERADOR_RECEPTIVO_BRI</t>
  </si>
  <si>
    <t>1348023910</t>
  </si>
  <si>
    <t>137650</t>
  </si>
  <si>
    <t>NET TOP HD CONFORTO FIDELIDADE</t>
  </si>
  <si>
    <t>T1943261</t>
  </si>
  <si>
    <t>CRN NACIONAL</t>
  </si>
  <si>
    <t>ERITAMAR DA SILVA SOUSA</t>
  </si>
  <si>
    <t>SEM SEGMENTO</t>
  </si>
  <si>
    <t>T1286704</t>
  </si>
  <si>
    <t>30-JUN-13</t>
  </si>
  <si>
    <t>JP11</t>
  </si>
  <si>
    <t>CRN_OPERADOR_RENTABILIZACAO_CGR</t>
  </si>
  <si>
    <t>1347739069</t>
  </si>
  <si>
    <t>97263</t>
  </si>
  <si>
    <t>JP09</t>
  </si>
  <si>
    <t>1347733300</t>
  </si>
  <si>
    <t>96828</t>
  </si>
  <si>
    <t>WHITE</t>
  </si>
  <si>
    <t>JP19</t>
  </si>
  <si>
    <t>1347850984</t>
  </si>
  <si>
    <t>147807</t>
  </si>
  <si>
    <t>COMBO NET TOP HD CONFORTO FID PA GR</t>
  </si>
  <si>
    <t>DAIANE FERREIRA SOARES</t>
  </si>
  <si>
    <t>JCB SERVICOS DE INST E MANUT LTDA-ME</t>
  </si>
  <si>
    <t>T1285619</t>
  </si>
  <si>
    <t>JP08</t>
  </si>
  <si>
    <t>CRN_OPERADOR_RECEPTIVO_HFC</t>
  </si>
  <si>
    <t>1347412168</t>
  </si>
  <si>
    <t>295170</t>
  </si>
  <si>
    <t>T1726716</t>
  </si>
  <si>
    <t>ATP - ATP/RECEP/FUNC OPER</t>
  </si>
  <si>
    <t>NATASHA SHERLYNE BARROSO DE MEDEIROS</t>
  </si>
  <si>
    <t>CONSTRUCABLE SERV DE TELECOM LTDA</t>
  </si>
  <si>
    <t>N5748035</t>
  </si>
  <si>
    <t>27-JUN-13</t>
  </si>
  <si>
    <t>JP27</t>
  </si>
  <si>
    <t>GES_ATENDIMENTO_BRI</t>
  </si>
  <si>
    <t>1347125327</t>
  </si>
  <si>
    <t>425</t>
  </si>
  <si>
    <t>308793</t>
  </si>
  <si>
    <t>NET MAIS DIG COL PA GRATIS</t>
  </si>
  <si>
    <t>T2022296</t>
  </si>
  <si>
    <t>NANA TAHIS OLIVEIRA MENDES</t>
  </si>
  <si>
    <t>T1794622</t>
  </si>
  <si>
    <t>26-JUN-13</t>
  </si>
  <si>
    <t>1347968816</t>
  </si>
  <si>
    <t>7518</t>
  </si>
  <si>
    <t>NET MAIS TV DIG CONFORTO</t>
  </si>
  <si>
    <t>FERNANDA DEL CASTILLO CARVALHO</t>
  </si>
  <si>
    <t>T0921826</t>
  </si>
  <si>
    <t>29-JUN-13</t>
  </si>
  <si>
    <t>JP16</t>
  </si>
  <si>
    <t>CRN_BACKOFFICE_TERCEIRO_POA</t>
  </si>
  <si>
    <t>1347831275</t>
  </si>
  <si>
    <t>180106</t>
  </si>
  <si>
    <t>CANCELADA</t>
  </si>
  <si>
    <t>T1680742</t>
  </si>
  <si>
    <t>NET SERVICOS - JOAO PESSOA</t>
  </si>
  <si>
    <t>JP30</t>
  </si>
  <si>
    <t>1347634906</t>
  </si>
  <si>
    <t>97281</t>
  </si>
  <si>
    <t>REAGENDADA</t>
  </si>
  <si>
    <t>ATIVO LOCAL GB</t>
  </si>
  <si>
    <t>ANA PAULA FERREIRA</t>
  </si>
  <si>
    <t>JP31</t>
  </si>
  <si>
    <t>1347734929</t>
  </si>
  <si>
    <t>96846</t>
  </si>
  <si>
    <t>1347110590</t>
  </si>
  <si>
    <t>224966</t>
  </si>
  <si>
    <t>KAROLINE ANDRADE DA SILVA</t>
  </si>
  <si>
    <t>T1811999</t>
  </si>
  <si>
    <t>GES_TELEVENDAS_ATIVO_OPERADOR</t>
  </si>
  <si>
    <t>1347122559</t>
  </si>
  <si>
    <t>NET MAIS HD COL</t>
  </si>
  <si>
    <t>1347227117</t>
  </si>
  <si>
    <t>280455</t>
  </si>
  <si>
    <t>NET FACIL DIG CONFORTO</t>
  </si>
  <si>
    <t>AGENTE AUTORIZADO - CLARO</t>
  </si>
  <si>
    <t>MARCELO DA SILVA PAIVA</t>
  </si>
  <si>
    <t>T1377216</t>
  </si>
  <si>
    <t>JP12</t>
  </si>
  <si>
    <t>COM_AGENTE_AUTORIZADO</t>
  </si>
  <si>
    <t>1348078437</t>
  </si>
  <si>
    <t>46024</t>
  </si>
  <si>
    <t>NET MAIS RETENCAO HD CONFORTO FIDELIDADE</t>
  </si>
  <si>
    <t>N5629980</t>
  </si>
  <si>
    <t>01-JUL-13</t>
  </si>
  <si>
    <t>JP29</t>
  </si>
  <si>
    <t>GES_ATENDIMENTO_PESSOAL</t>
  </si>
  <si>
    <t>1348198193</t>
  </si>
  <si>
    <t>9019184</t>
  </si>
  <si>
    <t>COMBO NET MAIS HD P-VTA 10MB CONF FID</t>
  </si>
  <si>
    <t>JULIANA DA SILVA SANTOS</t>
  </si>
  <si>
    <t>GLOBAL BUSINESS DO BRASIL</t>
  </si>
  <si>
    <t>T1366023</t>
  </si>
  <si>
    <t>1348185661</t>
  </si>
  <si>
    <t>254384</t>
  </si>
  <si>
    <t>SUPER MAXI BIG DIGTZ COL</t>
  </si>
  <si>
    <t>ANA LUCIA GOMES</t>
  </si>
  <si>
    <t>T1793240</t>
  </si>
  <si>
    <t>1348080104</t>
  </si>
  <si>
    <t>353850</t>
  </si>
  <si>
    <t>NET ESSENCIAL HD CONFORTO</t>
  </si>
  <si>
    <t>ABADIA SILVANIA DA SILVA</t>
  </si>
  <si>
    <t>T1735004</t>
  </si>
  <si>
    <t>GES_INTERCEPTACAO_RECEPTIVO_INAD_CG</t>
  </si>
  <si>
    <t>1348230943</t>
  </si>
  <si>
    <t>313338</t>
  </si>
  <si>
    <t>NET ESSENCIAL HD CONFORTO FIDELIDADE</t>
  </si>
  <si>
    <t>T2009402</t>
  </si>
  <si>
    <t>AGENTE AUTORIZADO</t>
  </si>
  <si>
    <t>BENEGLEICIA ALVES DOS SANTOS</t>
  </si>
  <si>
    <t>T1897010</t>
  </si>
  <si>
    <t>JP22</t>
  </si>
  <si>
    <t>1348221347</t>
  </si>
  <si>
    <t>9107652</t>
  </si>
  <si>
    <t>1347241731</t>
  </si>
  <si>
    <t>362608</t>
  </si>
  <si>
    <t>T1790561</t>
  </si>
  <si>
    <t>1348185672</t>
  </si>
  <si>
    <t>141225</t>
  </si>
  <si>
    <t>MICHELLE RIBEIRO</t>
  </si>
  <si>
    <t>T1960439</t>
  </si>
  <si>
    <t>1348324802</t>
  </si>
  <si>
    <t>38700</t>
  </si>
  <si>
    <t>NET TOP HD RETENCAO CONFORTO FIDELIDADE</t>
  </si>
  <si>
    <t>RETENÇÃO</t>
  </si>
  <si>
    <t>LUANA FERREIRA DOS SANTOS</t>
  </si>
  <si>
    <t>T1391444</t>
  </si>
  <si>
    <t>02-JUL-13</t>
  </si>
  <si>
    <t>GES_RETENCAO_CG</t>
  </si>
  <si>
    <t>1348342723</t>
  </si>
  <si>
    <t>57027</t>
  </si>
  <si>
    <t>PREMIUM DIGTZ BASICO FIDELIDADE</t>
  </si>
  <si>
    <t>ABADIA BORGES DA SILVA</t>
  </si>
  <si>
    <t>T1751709</t>
  </si>
  <si>
    <t>JP05</t>
  </si>
  <si>
    <t>1348493922</t>
  </si>
  <si>
    <t>450037</t>
  </si>
  <si>
    <t>NET FACIL HD CONFORTO</t>
  </si>
  <si>
    <t>T2025432</t>
  </si>
  <si>
    <t>EDNA ALVES SOARES</t>
  </si>
  <si>
    <t>T1765011</t>
  </si>
  <si>
    <t>JP17</t>
  </si>
  <si>
    <t>1347483245</t>
  </si>
  <si>
    <t>86519</t>
  </si>
  <si>
    <t>COMBO NET MAIS DIG TV CONF FID PA GR</t>
  </si>
  <si>
    <t>ABEL BRAGA REIS</t>
  </si>
  <si>
    <t>RED</t>
  </si>
  <si>
    <t>1348528448</t>
  </si>
  <si>
    <t>169689</t>
  </si>
  <si>
    <t>T1945049</t>
  </si>
  <si>
    <t>FUNCIONARIO</t>
  </si>
  <si>
    <t>T1731981</t>
  </si>
  <si>
    <t>JP02</t>
  </si>
  <si>
    <t>1348214574</t>
  </si>
  <si>
    <t>98779</t>
  </si>
  <si>
    <t>CRN LOCAL</t>
  </si>
  <si>
    <t>ABDAN CAVALCANTI ABDALA</t>
  </si>
  <si>
    <t>T1869013</t>
  </si>
  <si>
    <t>1347108474</t>
  </si>
  <si>
    <t>T1865782</t>
  </si>
  <si>
    <t>1347236982</t>
  </si>
  <si>
    <t>154928</t>
  </si>
  <si>
    <t>T1550337</t>
  </si>
  <si>
    <t>JP93</t>
  </si>
  <si>
    <t>GES_BKO_OS</t>
  </si>
  <si>
    <t>1348250091</t>
  </si>
  <si>
    <t>CBO NET TOP HD MAX TC P-VTA 10M CONF FID</t>
  </si>
  <si>
    <t>1348484876</t>
  </si>
  <si>
    <t>9187125</t>
  </si>
  <si>
    <t>COMBO NET ESSENCIAL DIG PA GR</t>
  </si>
  <si>
    <t>T1751307</t>
  </si>
  <si>
    <t>1348383706</t>
  </si>
  <si>
    <t>450617</t>
  </si>
  <si>
    <t>JOSEFA DA CONCEICAO DE JESUS</t>
  </si>
  <si>
    <t>T1754969</t>
  </si>
  <si>
    <t>1348382659</t>
  </si>
  <si>
    <t>1348492505</t>
  </si>
  <si>
    <t>338700</t>
  </si>
  <si>
    <t>COMBO NET TOP HD TELECINE CONF FID PA GR</t>
  </si>
  <si>
    <t>XEILA AVELINO DOS SANTOS</t>
  </si>
  <si>
    <t>T1678684</t>
  </si>
  <si>
    <t>JP53</t>
  </si>
  <si>
    <t>1342469996</t>
  </si>
  <si>
    <t>136804</t>
  </si>
  <si>
    <t>RODRIGO NAVARRO NOGUEIRA</t>
  </si>
  <si>
    <t>T1636715</t>
  </si>
  <si>
    <t>05-JUN-13</t>
  </si>
  <si>
    <t>GES_SUPERVISOR</t>
  </si>
  <si>
    <t>XENIA JACINTO SANTOS</t>
  </si>
  <si>
    <t>1348491694</t>
  </si>
  <si>
    <t>T1732583</t>
  </si>
  <si>
    <t>T1962190</t>
  </si>
  <si>
    <t>1348645965</t>
  </si>
  <si>
    <t>16133</t>
  </si>
  <si>
    <t>PO NET ESSENCIAL DIG TELECINE CONF FID</t>
  </si>
  <si>
    <t>T1751876</t>
  </si>
  <si>
    <t>03-JUL-13</t>
  </si>
  <si>
    <t>JP06</t>
  </si>
  <si>
    <t>1348711172</t>
  </si>
  <si>
    <t>28295</t>
  </si>
  <si>
    <t>JP21</t>
  </si>
  <si>
    <t>1348697603</t>
  </si>
  <si>
    <t>9113849</t>
  </si>
  <si>
    <t>COMBO NET MAIS DIG CONFORTO FID PA GR</t>
  </si>
  <si>
    <t>RENATO AMADEU BERTI</t>
  </si>
  <si>
    <t>T1333521</t>
  </si>
  <si>
    <t>1348876332</t>
  </si>
  <si>
    <t>325169</t>
  </si>
  <si>
    <t>T1048578</t>
  </si>
  <si>
    <t>04-JUL-13</t>
  </si>
  <si>
    <t>JP04</t>
  </si>
  <si>
    <t>1348862933</t>
  </si>
  <si>
    <t>500082</t>
  </si>
  <si>
    <t>4 ESTRELAS A DIGITAL</t>
  </si>
  <si>
    <t>N0229149</t>
  </si>
  <si>
    <t>JAIR SALVIANO ALVES</t>
  </si>
  <si>
    <t>1348863596</t>
  </si>
  <si>
    <t>500117</t>
  </si>
  <si>
    <t>1348863495</t>
  </si>
  <si>
    <t>499972</t>
  </si>
  <si>
    <t>1348870493</t>
  </si>
  <si>
    <t>424</t>
  </si>
  <si>
    <t>13061</t>
  </si>
  <si>
    <t>T1994791</t>
  </si>
  <si>
    <t>1348602351</t>
  </si>
  <si>
    <t>T2009309</t>
  </si>
  <si>
    <t>MAIARA DO ROSARIO SANTOS</t>
  </si>
  <si>
    <t>T1858715</t>
  </si>
  <si>
    <t>CRN_OPERADOR_RECEPTIVO_JDF</t>
  </si>
  <si>
    <t>1348979066</t>
  </si>
  <si>
    <t>123218</t>
  </si>
  <si>
    <t>N5669112</t>
  </si>
  <si>
    <t>1348863361</t>
  </si>
  <si>
    <t>500019</t>
  </si>
  <si>
    <t>1348863136</t>
  </si>
  <si>
    <t>500064</t>
  </si>
  <si>
    <t>1348863192</t>
  </si>
  <si>
    <t>500091</t>
  </si>
  <si>
    <t>1348863091</t>
  </si>
  <si>
    <t>500037</t>
  </si>
  <si>
    <t>1348863282</t>
  </si>
  <si>
    <t>499981</t>
  </si>
  <si>
    <t>1348862988</t>
  </si>
  <si>
    <t>499990</t>
  </si>
  <si>
    <t>1348877614</t>
  </si>
  <si>
    <t>39501</t>
  </si>
  <si>
    <t>ALLINE DE FATIMA QUEIROZ SANTOS</t>
  </si>
  <si>
    <t>T1269457</t>
  </si>
  <si>
    <t>1348863170</t>
  </si>
  <si>
    <t>500073</t>
  </si>
  <si>
    <t>T1724110</t>
  </si>
  <si>
    <t>1348863529</t>
  </si>
  <si>
    <t>499945</t>
  </si>
  <si>
    <t>1348863327</t>
  </si>
  <si>
    <t>500108</t>
  </si>
  <si>
    <t>1348863439</t>
  </si>
  <si>
    <t>500055</t>
  </si>
  <si>
    <t>1348863237</t>
  </si>
  <si>
    <t>500000</t>
  </si>
  <si>
    <t>1348863406</t>
  </si>
  <si>
    <t>500046</t>
  </si>
  <si>
    <t>1348863057</t>
  </si>
  <si>
    <t>500028</t>
  </si>
  <si>
    <t>1348863563</t>
  </si>
  <si>
    <t>499963</t>
  </si>
  <si>
    <t>1348634873</t>
  </si>
  <si>
    <t>390399</t>
  </si>
  <si>
    <t>NET ESSENCIAL HD TELECINE CONFORTO FID</t>
  </si>
  <si>
    <t>ALISON RAFFAEL BARBOSA DE BARROS</t>
  </si>
  <si>
    <t>T1731905</t>
  </si>
  <si>
    <t>1348483538</t>
  </si>
  <si>
    <t>COMBO NET ESSENCIAL HD P-VTA 10MB</t>
  </si>
  <si>
    <t>T1746687</t>
  </si>
  <si>
    <t>T1878430</t>
  </si>
  <si>
    <t>1348921614</t>
  </si>
  <si>
    <t>161192</t>
  </si>
  <si>
    <t>T1834800</t>
  </si>
  <si>
    <t>1348863002</t>
  </si>
  <si>
    <t>499954</t>
  </si>
  <si>
    <t>NAO EXECUTADA</t>
  </si>
  <si>
    <t>1348929601</t>
  </si>
  <si>
    <t>432842</t>
  </si>
  <si>
    <t>NET MAIS HD HBO CONFORTO FIDELIDADE</t>
  </si>
  <si>
    <t>T1715080</t>
  </si>
  <si>
    <t>GES_RETENCAO_HFC</t>
  </si>
  <si>
    <t>1344186174</t>
  </si>
  <si>
    <t>9007852</t>
  </si>
  <si>
    <t>T1885392</t>
  </si>
  <si>
    <t>DANIEL BRUNO DA SILVA BARBOSA</t>
  </si>
  <si>
    <t>N0167248</t>
  </si>
  <si>
    <t>13-JUN-13</t>
  </si>
  <si>
    <t>JP13</t>
  </si>
  <si>
    <t>1344185140</t>
  </si>
  <si>
    <t>494271</t>
  </si>
  <si>
    <t>T2006307</t>
  </si>
  <si>
    <t>1344186466</t>
  </si>
  <si>
    <t>9007860</t>
  </si>
  <si>
    <t>T1661825</t>
  </si>
  <si>
    <t>1344185757</t>
  </si>
  <si>
    <t>494253</t>
  </si>
  <si>
    <t>T1943273</t>
  </si>
  <si>
    <t>1344185881</t>
  </si>
  <si>
    <t>494413</t>
  </si>
  <si>
    <t>T1849764</t>
  </si>
  <si>
    <t>1344185814</t>
  </si>
  <si>
    <t>494539</t>
  </si>
  <si>
    <t>T1523700</t>
  </si>
  <si>
    <t>1344186703</t>
  </si>
  <si>
    <t>494486</t>
  </si>
  <si>
    <t>T1943572</t>
  </si>
  <si>
    <t>1348161766</t>
  </si>
  <si>
    <t>180795</t>
  </si>
  <si>
    <t>T1671882</t>
  </si>
  <si>
    <t>1344186815</t>
  </si>
  <si>
    <t>494333</t>
  </si>
  <si>
    <t>T1657812</t>
  </si>
  <si>
    <t>1347827641</t>
  </si>
  <si>
    <t>179461</t>
  </si>
  <si>
    <t>JP88</t>
  </si>
  <si>
    <t>1344186196</t>
  </si>
  <si>
    <t>494897</t>
  </si>
  <si>
    <t>T2026199</t>
  </si>
  <si>
    <t>1349013640</t>
  </si>
  <si>
    <t>234579</t>
  </si>
  <si>
    <t>T2006101</t>
  </si>
  <si>
    <t>JP96</t>
  </si>
  <si>
    <t>1347243104</t>
  </si>
  <si>
    <t>284462</t>
  </si>
  <si>
    <t>1344187030</t>
  </si>
  <si>
    <t>494600</t>
  </si>
  <si>
    <t>T2022337</t>
  </si>
  <si>
    <t>1344186095</t>
  </si>
  <si>
    <t>494226</t>
  </si>
  <si>
    <t>T2006400</t>
  </si>
  <si>
    <t>1344185634</t>
  </si>
  <si>
    <t>494244</t>
  </si>
  <si>
    <t>T1659913</t>
  </si>
  <si>
    <t>1344186387</t>
  </si>
  <si>
    <t>494593</t>
  </si>
  <si>
    <t>T1714270</t>
  </si>
  <si>
    <t>1344186354</t>
  </si>
  <si>
    <t>494735</t>
  </si>
  <si>
    <t>T1902592</t>
  </si>
  <si>
    <t>1344186321</t>
  </si>
  <si>
    <t>494477</t>
  </si>
  <si>
    <t>T1885691</t>
  </si>
  <si>
    <t>1344186949</t>
  </si>
  <si>
    <t>494888</t>
  </si>
  <si>
    <t>T2023783</t>
  </si>
  <si>
    <t>1344186264</t>
  </si>
  <si>
    <t>494879</t>
  </si>
  <si>
    <t>T1512660</t>
  </si>
  <si>
    <t>1344186039</t>
  </si>
  <si>
    <t>494575</t>
  </si>
  <si>
    <t>T1789067</t>
  </si>
  <si>
    <t>1344185948</t>
  </si>
  <si>
    <t>494379</t>
  </si>
  <si>
    <t>T2023680</t>
  </si>
  <si>
    <t>1344186725</t>
  </si>
  <si>
    <t>494502</t>
  </si>
  <si>
    <t>T1885990</t>
  </si>
  <si>
    <t>1344186792</t>
  </si>
  <si>
    <t>9010268</t>
  </si>
  <si>
    <t>T1660015</t>
  </si>
  <si>
    <t>1344186220</t>
  </si>
  <si>
    <t>494780</t>
  </si>
  <si>
    <t>T1659133</t>
  </si>
  <si>
    <t>1344186556</t>
  </si>
  <si>
    <t>494664</t>
  </si>
  <si>
    <t>T2006709</t>
  </si>
  <si>
    <t>1344186488</t>
  </si>
  <si>
    <t>494628</t>
  </si>
  <si>
    <t>T1856963</t>
  </si>
  <si>
    <t>T1660625</t>
  </si>
  <si>
    <t>T1989502</t>
  </si>
  <si>
    <t>1344186747</t>
  </si>
  <si>
    <t>494584</t>
  </si>
  <si>
    <t>1344185869</t>
  </si>
  <si>
    <t>494548</t>
  </si>
  <si>
    <t>T2024531</t>
  </si>
  <si>
    <t>1344185836</t>
  </si>
  <si>
    <t>494468</t>
  </si>
  <si>
    <t>T1931086</t>
  </si>
  <si>
    <t>1344186523</t>
  </si>
  <si>
    <t>494315</t>
  </si>
  <si>
    <t>1344186501</t>
  </si>
  <si>
    <t>494397</t>
  </si>
  <si>
    <t>T1662532</t>
  </si>
  <si>
    <t>1344185612</t>
  </si>
  <si>
    <t>494280</t>
  </si>
  <si>
    <t>T1931385</t>
  </si>
  <si>
    <t>1344186006</t>
  </si>
  <si>
    <t>494708</t>
  </si>
  <si>
    <t>T1620089</t>
  </si>
  <si>
    <t>1344185353</t>
  </si>
  <si>
    <t>494217</t>
  </si>
  <si>
    <t>1344185915</t>
  </si>
  <si>
    <t>494762</t>
  </si>
  <si>
    <t>T2004907</t>
  </si>
  <si>
    <t>1344186769</t>
  </si>
  <si>
    <t>494208</t>
  </si>
  <si>
    <t>T1520708</t>
  </si>
  <si>
    <t>1344186972</t>
  </si>
  <si>
    <t>494495</t>
  </si>
  <si>
    <t>T1936579</t>
  </si>
  <si>
    <t>1344185982</t>
  </si>
  <si>
    <t>494726</t>
  </si>
  <si>
    <t>T1521295</t>
  </si>
  <si>
    <t>1344186679</t>
  </si>
  <si>
    <t>494324</t>
  </si>
  <si>
    <t>T1930886</t>
  </si>
  <si>
    <t>1344186657</t>
  </si>
  <si>
    <t>494422</t>
  </si>
  <si>
    <t>T1524297</t>
  </si>
  <si>
    <t>1344186422</t>
  </si>
  <si>
    <t>494619</t>
  </si>
  <si>
    <t>T1723221</t>
  </si>
  <si>
    <t>1344185656</t>
  </si>
  <si>
    <t>494691</t>
  </si>
  <si>
    <t>T1993395</t>
  </si>
  <si>
    <t>1344186916</t>
  </si>
  <si>
    <t>494771</t>
  </si>
  <si>
    <t>T1664190</t>
  </si>
  <si>
    <t>1344185690</t>
  </si>
  <si>
    <t>494913</t>
  </si>
  <si>
    <t>T1941677</t>
  </si>
  <si>
    <t>1344185049</t>
  </si>
  <si>
    <t>494904</t>
  </si>
  <si>
    <t>T1556290</t>
  </si>
  <si>
    <t>1344186860</t>
  </si>
  <si>
    <t>494557</t>
  </si>
  <si>
    <t>T1856561</t>
  </si>
  <si>
    <t>1344186286</t>
  </si>
  <si>
    <t>494351</t>
  </si>
  <si>
    <t>T1726211</t>
  </si>
  <si>
    <t>1344185780</t>
  </si>
  <si>
    <t>494806</t>
  </si>
  <si>
    <t>T1993694</t>
  </si>
  <si>
    <t>1348961933</t>
  </si>
  <si>
    <t>38997</t>
  </si>
  <si>
    <t>ATUALIDADE UNI DIGTZ BASICO FIDELIDADE</t>
  </si>
  <si>
    <t>T1876729</t>
  </si>
  <si>
    <t>ALINE SILVA SOUZA</t>
  </si>
  <si>
    <t>T2013518</t>
  </si>
  <si>
    <t>1349184885</t>
  </si>
  <si>
    <t>47496</t>
  </si>
  <si>
    <t>NET MAIS TV DIG RETENCAO CONFORTO FID</t>
  </si>
  <si>
    <t>JUCIMAR DOS SANTOS RODRIGUES</t>
  </si>
  <si>
    <t>05-JUL-13</t>
  </si>
  <si>
    <t>JP32</t>
  </si>
  <si>
    <t>1348962529</t>
  </si>
  <si>
    <t>1348176953</t>
  </si>
  <si>
    <t>156477</t>
  </si>
  <si>
    <t>JP18</t>
  </si>
  <si>
    <t>1348186954</t>
  </si>
  <si>
    <t>150144</t>
  </si>
  <si>
    <t>1348180723</t>
  </si>
  <si>
    <t>154231</t>
  </si>
  <si>
    <t>1348167201</t>
  </si>
  <si>
    <t>183938</t>
  </si>
  <si>
    <t>1348190353</t>
  </si>
  <si>
    <t>149721</t>
  </si>
  <si>
    <t>T1731400</t>
  </si>
  <si>
    <t>1342897676</t>
  </si>
  <si>
    <t>142204</t>
  </si>
  <si>
    <t>MUDANCA DE PACOTE</t>
  </si>
  <si>
    <t>ACESSO VIRTUA</t>
  </si>
  <si>
    <t>FELIPE MENESES DIAS</t>
  </si>
  <si>
    <t>T1410393</t>
  </si>
  <si>
    <t>07-JUN-13</t>
  </si>
  <si>
    <t>1349277147</t>
  </si>
  <si>
    <t>PO COMBO NET ESSENCIAL DIG P-VTA 10MB</t>
  </si>
  <si>
    <t>LEANDRO DE ARAUJO COSTA</t>
  </si>
  <si>
    <t>1349283975</t>
  </si>
  <si>
    <t>69152</t>
  </si>
  <si>
    <t>COMBO NET FACIL P-VTA 10MB DIG CONF FID</t>
  </si>
  <si>
    <t>ABEL ALEXANDRE DE ARMAS</t>
  </si>
  <si>
    <t>T1852199</t>
  </si>
  <si>
    <t>1347164713</t>
  </si>
  <si>
    <t>9128692</t>
  </si>
  <si>
    <t>T1754282</t>
  </si>
  <si>
    <t>JP97</t>
  </si>
  <si>
    <t>1349441005</t>
  </si>
  <si>
    <t>351150</t>
  </si>
  <si>
    <t>T1680405</t>
  </si>
  <si>
    <t>06-JUL-13</t>
  </si>
  <si>
    <t>1349212708</t>
  </si>
  <si>
    <t>177556</t>
  </si>
  <si>
    <t>ANDRIELY APARECIDA ROCHA</t>
  </si>
  <si>
    <t>T1851080</t>
  </si>
  <si>
    <t>1349277877</t>
  </si>
  <si>
    <t>384382</t>
  </si>
  <si>
    <t>T1943869</t>
  </si>
  <si>
    <t>JP91</t>
  </si>
  <si>
    <t>1349476058</t>
  </si>
  <si>
    <t>360293</t>
  </si>
  <si>
    <t>FAMILIA DIG COL PA GRATIS</t>
  </si>
  <si>
    <t>T1791632</t>
  </si>
  <si>
    <t>1349580739</t>
  </si>
  <si>
    <t>156922</t>
  </si>
  <si>
    <t>T1878325</t>
  </si>
  <si>
    <t>07-JUL-13</t>
  </si>
  <si>
    <t>1344955583</t>
  </si>
  <si>
    <t>267194</t>
  </si>
  <si>
    <t>T1616155</t>
  </si>
  <si>
    <t>17-JUN-13</t>
  </si>
  <si>
    <t>1348892903</t>
  </si>
  <si>
    <t>515305</t>
  </si>
  <si>
    <t>N5554692</t>
  </si>
  <si>
    <t>SMS_CONSULTA</t>
  </si>
  <si>
    <t>1348888975</t>
  </si>
  <si>
    <t>515556</t>
  </si>
  <si>
    <t>1348891575</t>
  </si>
  <si>
    <t>515314</t>
  </si>
  <si>
    <t>N0166995</t>
  </si>
  <si>
    <t>COM_ASSISTENTE_VENDAS</t>
  </si>
  <si>
    <t>1349587938</t>
  </si>
  <si>
    <t>145063</t>
  </si>
  <si>
    <t>COMBO NET ESSENCIAL DIG TELECINE PA GR</t>
  </si>
  <si>
    <t>UBERLANDIA MARIA DE SOUSA</t>
  </si>
  <si>
    <t>T1366762</t>
  </si>
  <si>
    <t>1348893331</t>
  </si>
  <si>
    <t>514835</t>
  </si>
  <si>
    <t>1348893050</t>
  </si>
  <si>
    <t>515832</t>
  </si>
  <si>
    <t>1348891069</t>
  </si>
  <si>
    <t>515645</t>
  </si>
  <si>
    <t>1348889022</t>
  </si>
  <si>
    <t>515896</t>
  </si>
  <si>
    <t>1348888751</t>
  </si>
  <si>
    <t>515387</t>
  </si>
  <si>
    <t>1348891261</t>
  </si>
  <si>
    <t>515403</t>
  </si>
  <si>
    <t>1348890945</t>
  </si>
  <si>
    <t>514979</t>
  </si>
  <si>
    <t>1348890709</t>
  </si>
  <si>
    <t>515547</t>
  </si>
  <si>
    <t>1348890002</t>
  </si>
  <si>
    <t>515574</t>
  </si>
  <si>
    <t>1348894714</t>
  </si>
  <si>
    <t>515592</t>
  </si>
  <si>
    <t>1348892666</t>
  </si>
  <si>
    <t>515494</t>
  </si>
  <si>
    <t>1348890811</t>
  </si>
  <si>
    <t>515252</t>
  </si>
  <si>
    <t>1348889594</t>
  </si>
  <si>
    <t>515869</t>
  </si>
  <si>
    <t>1348892206</t>
  </si>
  <si>
    <t>515190</t>
  </si>
  <si>
    <t>1348889145</t>
  </si>
  <si>
    <t>514531</t>
  </si>
  <si>
    <t>1348892813</t>
  </si>
  <si>
    <t>515181</t>
  </si>
  <si>
    <t>1349134138</t>
  </si>
  <si>
    <t>NET TOP HD MAX CINEMA COL</t>
  </si>
  <si>
    <t>1348888672</t>
  </si>
  <si>
    <t>515967</t>
  </si>
  <si>
    <t>1348888470</t>
  </si>
  <si>
    <t>515047</t>
  </si>
  <si>
    <t>1348888830</t>
  </si>
  <si>
    <t>514577</t>
  </si>
  <si>
    <t>1348889527</t>
  </si>
  <si>
    <t>514728</t>
  </si>
  <si>
    <t>1348889369</t>
  </si>
  <si>
    <t>515350</t>
  </si>
  <si>
    <t>1348888492</t>
  </si>
  <si>
    <t>515734</t>
  </si>
  <si>
    <t>1348887963</t>
  </si>
  <si>
    <t>514719</t>
  </si>
  <si>
    <t>1348889055</t>
  </si>
  <si>
    <t>515903</t>
  </si>
  <si>
    <t>1348891395</t>
  </si>
  <si>
    <t>515332</t>
  </si>
  <si>
    <t>1348890394</t>
  </si>
  <si>
    <t>514782</t>
  </si>
  <si>
    <t>1348893230</t>
  </si>
  <si>
    <t>514488</t>
  </si>
  <si>
    <t>1348890248</t>
  </si>
  <si>
    <t>515289</t>
  </si>
  <si>
    <t>1348889099</t>
  </si>
  <si>
    <t>515654</t>
  </si>
  <si>
    <t>1348888885</t>
  </si>
  <si>
    <t>514773</t>
  </si>
  <si>
    <t>1348892745</t>
  </si>
  <si>
    <t>515609</t>
  </si>
  <si>
    <t>1348892701</t>
  </si>
  <si>
    <t>515707</t>
  </si>
  <si>
    <t>1348893285</t>
  </si>
  <si>
    <t>515467</t>
  </si>
  <si>
    <t>1348892598</t>
  </si>
  <si>
    <t>515270</t>
  </si>
  <si>
    <t>1348888212</t>
  </si>
  <si>
    <t>514988</t>
  </si>
  <si>
    <t>1348891519</t>
  </si>
  <si>
    <t>514906</t>
  </si>
  <si>
    <t>1348890776</t>
  </si>
  <si>
    <t>514620</t>
  </si>
  <si>
    <t>1348893522</t>
  </si>
  <si>
    <t>515485</t>
  </si>
  <si>
    <t>1348892846</t>
  </si>
  <si>
    <t>514844</t>
  </si>
  <si>
    <t>1348892789</t>
  </si>
  <si>
    <t>514666</t>
  </si>
  <si>
    <t>1348891609</t>
  </si>
  <si>
    <t>515369</t>
  </si>
  <si>
    <t>JACKSON RHAMON TERTO ARAUJO</t>
  </si>
  <si>
    <t>1348888795</t>
  </si>
  <si>
    <t>515243</t>
  </si>
  <si>
    <t>1348889976</t>
  </si>
  <si>
    <t>515805</t>
  </si>
  <si>
    <t>1348893634</t>
  </si>
  <si>
    <t>515823</t>
  </si>
  <si>
    <t>1348892048</t>
  </si>
  <si>
    <t>515476</t>
  </si>
  <si>
    <t>1348889235</t>
  </si>
  <si>
    <t>515663</t>
  </si>
  <si>
    <t>1349752842</t>
  </si>
  <si>
    <t>417685</t>
  </si>
  <si>
    <t>08-JUL-13</t>
  </si>
  <si>
    <t>1348891339</t>
  </si>
  <si>
    <t>515010</t>
  </si>
  <si>
    <t>1348891193</t>
  </si>
  <si>
    <t>515396</t>
  </si>
  <si>
    <t>1348893162</t>
  </si>
  <si>
    <t>515529</t>
  </si>
  <si>
    <t>1348889280</t>
  </si>
  <si>
    <t>514997</t>
  </si>
  <si>
    <t>1348892453</t>
  </si>
  <si>
    <t>515538</t>
  </si>
  <si>
    <t>1348890125</t>
  </si>
  <si>
    <t>515412</t>
  </si>
  <si>
    <t>1348889853</t>
  </si>
  <si>
    <t>515298</t>
  </si>
  <si>
    <t>1348889460</t>
  </si>
  <si>
    <t>515565</t>
  </si>
  <si>
    <t>1348891643</t>
  </si>
  <si>
    <t>515994</t>
  </si>
  <si>
    <t>1348894028</t>
  </si>
  <si>
    <t>515430</t>
  </si>
  <si>
    <t>1348888852</t>
  </si>
  <si>
    <t>515145</t>
  </si>
  <si>
    <t>1348888560</t>
  </si>
  <si>
    <t>514826</t>
  </si>
  <si>
    <t>1348888199</t>
  </si>
  <si>
    <t>514880</t>
  </si>
  <si>
    <t>1348888357</t>
  </si>
  <si>
    <t>515323</t>
  </si>
  <si>
    <t>1348890888</t>
  </si>
  <si>
    <t>515887</t>
  </si>
  <si>
    <t>1348888717</t>
  </si>
  <si>
    <t>515038</t>
  </si>
  <si>
    <t>T1678763</t>
  </si>
  <si>
    <t>1348890608</t>
  </si>
  <si>
    <t>515458</t>
  </si>
  <si>
    <t>1348890484</t>
  </si>
  <si>
    <t>515798</t>
  </si>
  <si>
    <t>1348893443</t>
  </si>
  <si>
    <t>515510</t>
  </si>
  <si>
    <t>1348891474</t>
  </si>
  <si>
    <t>514460</t>
  </si>
  <si>
    <t>1348888425</t>
  </si>
  <si>
    <t>515136</t>
  </si>
  <si>
    <t>1348888065</t>
  </si>
  <si>
    <t>514924</t>
  </si>
  <si>
    <t>1348893353</t>
  </si>
  <si>
    <t>514586</t>
  </si>
  <si>
    <t>1348888773</t>
  </si>
  <si>
    <t>515958</t>
  </si>
  <si>
    <t>1348888447</t>
  </si>
  <si>
    <t>515172</t>
  </si>
  <si>
    <t>1348891788</t>
  </si>
  <si>
    <t>514602</t>
  </si>
  <si>
    <t>1348891351</t>
  </si>
  <si>
    <t>515261</t>
  </si>
  <si>
    <t>1348892611</t>
  </si>
  <si>
    <t>515378</t>
  </si>
  <si>
    <t>1348889303</t>
  </si>
  <si>
    <t>515341</t>
  </si>
  <si>
    <t>1349640556</t>
  </si>
  <si>
    <t>259281</t>
  </si>
  <si>
    <t>1348890046</t>
  </si>
  <si>
    <t>514871</t>
  </si>
  <si>
    <t>1348889404</t>
  </si>
  <si>
    <t>514808</t>
  </si>
  <si>
    <t>1348889505</t>
  </si>
  <si>
    <t>515636</t>
  </si>
  <si>
    <t>1348893139</t>
  </si>
  <si>
    <t>515065</t>
  </si>
  <si>
    <t>1348892004</t>
  </si>
  <si>
    <t>515930</t>
  </si>
  <si>
    <t>1348893106</t>
  </si>
  <si>
    <t>514540</t>
  </si>
  <si>
    <t>1348891946</t>
  </si>
  <si>
    <t>515618</t>
  </si>
  <si>
    <t>1348894130</t>
  </si>
  <si>
    <t>514899</t>
  </si>
  <si>
    <t>1348891452</t>
  </si>
  <si>
    <t>515234</t>
  </si>
  <si>
    <t>1348893948</t>
  </si>
  <si>
    <t>514639</t>
  </si>
  <si>
    <t>1348888278</t>
  </si>
  <si>
    <t>515878</t>
  </si>
  <si>
    <t>1349641490</t>
  </si>
  <si>
    <t>1348894095</t>
  </si>
  <si>
    <t>515421</t>
  </si>
  <si>
    <t>1348888021</t>
  </si>
  <si>
    <t>515207</t>
  </si>
  <si>
    <t>1348892363</t>
  </si>
  <si>
    <t>514648</t>
  </si>
  <si>
    <t>1349664529</t>
  </si>
  <si>
    <t>384935</t>
  </si>
  <si>
    <t>T1341011</t>
  </si>
  <si>
    <t>CRN_COORDENADOR_ATENDIMENTO_HFC</t>
  </si>
  <si>
    <t>1348889549</t>
  </si>
  <si>
    <t>515501</t>
  </si>
  <si>
    <t>1349739836</t>
  </si>
  <si>
    <t>306128</t>
  </si>
  <si>
    <t>DAYANA TEREZA SOUSA MONTEIRO</t>
  </si>
  <si>
    <t>T1359783</t>
  </si>
  <si>
    <t>1348892958</t>
  </si>
  <si>
    <t>514853</t>
  </si>
  <si>
    <t>1348894466</t>
  </si>
  <si>
    <t>515672</t>
  </si>
  <si>
    <t>1348888166</t>
  </si>
  <si>
    <t>515449</t>
  </si>
  <si>
    <t>1348893689</t>
  </si>
  <si>
    <t>515949</t>
  </si>
  <si>
    <t>1348891744</t>
  </si>
  <si>
    <t>515770</t>
  </si>
  <si>
    <t>1348890631</t>
  </si>
  <si>
    <t>514513</t>
  </si>
  <si>
    <t>1350002505</t>
  </si>
  <si>
    <t>NET MAIS HD TELECINE CONFORTO FIDELIDADE</t>
  </si>
  <si>
    <t>T1657733</t>
  </si>
  <si>
    <t>DOUGLAS GUTTIERRE MARQUES MACEDO</t>
  </si>
  <si>
    <t>T1274828</t>
  </si>
  <si>
    <t>09-JUL-13</t>
  </si>
  <si>
    <t>1348892240</t>
  </si>
  <si>
    <t>514568</t>
  </si>
  <si>
    <t>1348894062</t>
  </si>
  <si>
    <t>515216</t>
  </si>
  <si>
    <t>1348894680</t>
  </si>
  <si>
    <t>515814</t>
  </si>
  <si>
    <t>1348890989</t>
  </si>
  <si>
    <t>515074</t>
  </si>
  <si>
    <t>1348894365</t>
  </si>
  <si>
    <t>514559</t>
  </si>
  <si>
    <t>1348891766</t>
  </si>
  <si>
    <t>515118</t>
  </si>
  <si>
    <t>1349864240</t>
  </si>
  <si>
    <t>195858</t>
  </si>
  <si>
    <t>T1765126</t>
  </si>
  <si>
    <t>1350019738</t>
  </si>
  <si>
    <t>73101</t>
  </si>
  <si>
    <t>T1388124</t>
  </si>
  <si>
    <t>1348894657</t>
  </si>
  <si>
    <t>514693</t>
  </si>
  <si>
    <t>1348890518</t>
  </si>
  <si>
    <t>515752</t>
  </si>
  <si>
    <t>1348894567</t>
  </si>
  <si>
    <t>515743</t>
  </si>
  <si>
    <t>1348894332</t>
  </si>
  <si>
    <t>514791</t>
  </si>
  <si>
    <t>1348891665</t>
  </si>
  <si>
    <t>515681</t>
  </si>
  <si>
    <t>1348891621</t>
  </si>
  <si>
    <t>515789</t>
  </si>
  <si>
    <t>1348892475</t>
  </si>
  <si>
    <t>514862</t>
  </si>
  <si>
    <t>1349970822</t>
  </si>
  <si>
    <t>38264</t>
  </si>
  <si>
    <t>T1520100</t>
  </si>
  <si>
    <t>ABDIAS CONCEICAO GOMES</t>
  </si>
  <si>
    <t>T1794737</t>
  </si>
  <si>
    <t>1348894602</t>
  </si>
  <si>
    <t>514951</t>
  </si>
  <si>
    <t>1348890428</t>
  </si>
  <si>
    <t>514522</t>
  </si>
  <si>
    <t>1348893735</t>
  </si>
  <si>
    <t>515225</t>
  </si>
  <si>
    <t>1348891980</t>
  </si>
  <si>
    <t>515163</t>
  </si>
  <si>
    <t>1348891081</t>
  </si>
  <si>
    <t>515627</t>
  </si>
  <si>
    <t>1349950280</t>
  </si>
  <si>
    <t>9123402</t>
  </si>
  <si>
    <t>T1656105</t>
  </si>
  <si>
    <t>LORENNA LEITE BARRETO</t>
  </si>
  <si>
    <t>T1677989</t>
  </si>
  <si>
    <t>1348892341</t>
  </si>
  <si>
    <t>514960</t>
  </si>
  <si>
    <t>1349963835</t>
  </si>
  <si>
    <t>385307</t>
  </si>
  <si>
    <t>ABEL CRISTOVAO DA SILVA JUNIOR</t>
  </si>
  <si>
    <t>T1390036</t>
  </si>
  <si>
    <t>1348894242</t>
  </si>
  <si>
    <t>515921</t>
  </si>
  <si>
    <t>1348891834</t>
  </si>
  <si>
    <t>514942</t>
  </si>
  <si>
    <t>1349508302</t>
  </si>
  <si>
    <t>224902</t>
  </si>
  <si>
    <t>JANAINA FERNANDA ALVES DE SOUZA</t>
  </si>
  <si>
    <t>T1826451</t>
  </si>
  <si>
    <t>JP40</t>
  </si>
  <si>
    <t>1348889741</t>
  </si>
  <si>
    <t>514479</t>
  </si>
  <si>
    <t>1348891553</t>
  </si>
  <si>
    <t>515001</t>
  </si>
  <si>
    <t>1348890732</t>
  </si>
  <si>
    <t>514737</t>
  </si>
  <si>
    <t>1348893791</t>
  </si>
  <si>
    <t>515725</t>
  </si>
  <si>
    <t>1348890170</t>
  </si>
  <si>
    <t>514933</t>
  </si>
  <si>
    <t>1348891867</t>
  </si>
  <si>
    <t>514611</t>
  </si>
  <si>
    <t>1348889796</t>
  </si>
  <si>
    <t>514497</t>
  </si>
  <si>
    <t>1348894512</t>
  </si>
  <si>
    <t>515841</t>
  </si>
  <si>
    <t>1348893858</t>
  </si>
  <si>
    <t>515029</t>
  </si>
  <si>
    <t>1348892431</t>
  </si>
  <si>
    <t>514764</t>
  </si>
  <si>
    <t>1348894422</t>
  </si>
  <si>
    <t>514657</t>
  </si>
  <si>
    <t>1348894174</t>
  </si>
  <si>
    <t>515092</t>
  </si>
  <si>
    <t>1348891159</t>
  </si>
  <si>
    <t>514700</t>
  </si>
  <si>
    <t>1348890585</t>
  </si>
  <si>
    <t>514817</t>
  </si>
  <si>
    <t>1348892273</t>
  </si>
  <si>
    <t>515083</t>
  </si>
  <si>
    <t>1348892149</t>
  </si>
  <si>
    <t>514675</t>
  </si>
  <si>
    <t>1348891700</t>
  </si>
  <si>
    <t>514755</t>
  </si>
  <si>
    <t>1348891137</t>
  </si>
  <si>
    <t>515154</t>
  </si>
  <si>
    <t>1350070195</t>
  </si>
  <si>
    <t>35629</t>
  </si>
  <si>
    <t>NET FACIL DIG CONFORTO FIDELIDADE</t>
  </si>
  <si>
    <t>CARLA RANIELLY DA SILVA SOARES</t>
  </si>
  <si>
    <t>T1278915</t>
  </si>
  <si>
    <t>JP24</t>
  </si>
  <si>
    <t>1349986818</t>
  </si>
  <si>
    <t>396579</t>
  </si>
  <si>
    <t>1348889640</t>
  </si>
  <si>
    <t>515690</t>
  </si>
  <si>
    <t>1348891036</t>
  </si>
  <si>
    <t>515976</t>
  </si>
  <si>
    <t>1348891890</t>
  </si>
  <si>
    <t>515056</t>
  </si>
  <si>
    <t>1348892093</t>
  </si>
  <si>
    <t>514504</t>
  </si>
  <si>
    <t>1348892329</t>
  </si>
  <si>
    <t>515912</t>
  </si>
  <si>
    <t>1348890686</t>
  </si>
  <si>
    <t>515109</t>
  </si>
  <si>
    <t>1348892509</t>
  </si>
  <si>
    <t>515985</t>
  </si>
  <si>
    <t>1348891003</t>
  </si>
  <si>
    <t>515583</t>
  </si>
  <si>
    <t>1348892385</t>
  </si>
  <si>
    <t>515761</t>
  </si>
  <si>
    <t>1348892543</t>
  </si>
  <si>
    <t>515716</t>
  </si>
  <si>
    <t>1348894400</t>
  </si>
  <si>
    <t>514684</t>
  </si>
  <si>
    <t>1348889921</t>
  </si>
  <si>
    <t>515127</t>
  </si>
  <si>
    <t>1348890327</t>
  </si>
  <si>
    <t>514915</t>
  </si>
  <si>
    <t>1348893768</t>
  </si>
  <si>
    <t>514746</t>
  </si>
  <si>
    <t>1348893702</t>
  </si>
  <si>
    <t>515850</t>
  </si>
  <si>
    <t>1348890158</t>
  </si>
  <si>
    <t>514595</t>
  </si>
  <si>
    <t>T1923986</t>
  </si>
  <si>
    <t>1344869846</t>
  </si>
  <si>
    <t>188586</t>
  </si>
  <si>
    <t>16-JUN-13</t>
  </si>
  <si>
    <t>1349037848</t>
  </si>
  <si>
    <t>268637</t>
  </si>
  <si>
    <t>PREMIUM DIGTZ BASICO</t>
  </si>
  <si>
    <t>ATIVO NACIONAL</t>
  </si>
  <si>
    <t>T1854927</t>
  </si>
  <si>
    <t>1349141271</t>
  </si>
  <si>
    <t>510702</t>
  </si>
  <si>
    <t>JOSE FERNANDO GALDINO DOS SANTOS</t>
  </si>
  <si>
    <t>1349160474</t>
  </si>
  <si>
    <t>510766</t>
  </si>
  <si>
    <t>1350150767</t>
  </si>
  <si>
    <t>429130</t>
  </si>
  <si>
    <t>CONEXAO DIG CONFORTO FIDELIDADE</t>
  </si>
  <si>
    <t>T2006606</t>
  </si>
  <si>
    <t>10-JUL-13</t>
  </si>
  <si>
    <t>1349133632</t>
  </si>
  <si>
    <t>510739</t>
  </si>
  <si>
    <t>1350161039</t>
  </si>
  <si>
    <t>422373</t>
  </si>
  <si>
    <t>NET MAIS HD CONFORTO FIDELIDADE</t>
  </si>
  <si>
    <t>JP51</t>
  </si>
  <si>
    <t>1350344177</t>
  </si>
  <si>
    <t>242419</t>
  </si>
  <si>
    <t>T1852620</t>
  </si>
  <si>
    <t>1349166728</t>
  </si>
  <si>
    <t>510711</t>
  </si>
  <si>
    <t>1349163972</t>
  </si>
  <si>
    <t>510720</t>
  </si>
  <si>
    <t>1349139076</t>
  </si>
  <si>
    <t>510695</t>
  </si>
  <si>
    <t>1349143330</t>
  </si>
  <si>
    <t>510748</t>
  </si>
  <si>
    <t>1350234962</t>
  </si>
  <si>
    <t>218682</t>
  </si>
  <si>
    <t>ALINE AGOSTINHO MOTA</t>
  </si>
  <si>
    <t>T1333727</t>
  </si>
  <si>
    <t>T1855971</t>
  </si>
  <si>
    <t>1349156659</t>
  </si>
  <si>
    <t>510686</t>
  </si>
  <si>
    <t>1349148380</t>
  </si>
  <si>
    <t>510757</t>
  </si>
  <si>
    <t>1349137557</t>
  </si>
  <si>
    <t>510775</t>
  </si>
  <si>
    <t>1350134466</t>
  </si>
  <si>
    <t>302</t>
  </si>
  <si>
    <t>409585</t>
  </si>
  <si>
    <t>CBO NET MAIS TV DIG P-VTA 10MB CONF FID</t>
  </si>
  <si>
    <t>FRANCYELE ALBUQUERQUE SANTOS</t>
  </si>
  <si>
    <t>T1279127</t>
  </si>
  <si>
    <t>T1455604</t>
  </si>
  <si>
    <t>1350165370</t>
  </si>
  <si>
    <t>PO NET MAIS DIG CONFORTO</t>
  </si>
  <si>
    <t>T1614482</t>
  </si>
  <si>
    <t>COM_CELULA_CADASTRO_BACKOFFICE</t>
  </si>
  <si>
    <t>1349281681</t>
  </si>
  <si>
    <t>474546</t>
  </si>
  <si>
    <t>ELISANGELA NUNES DA SILVA</t>
  </si>
  <si>
    <t>TELLE - TELECOMUNICACOES E ENG</t>
  </si>
  <si>
    <t>T1361982</t>
  </si>
  <si>
    <t>1350194260</t>
  </si>
  <si>
    <t>9187613</t>
  </si>
  <si>
    <t>1345945976</t>
  </si>
  <si>
    <t>348877</t>
  </si>
  <si>
    <t>NET FACIL HD CONFORTO FIDELIDADE</t>
  </si>
  <si>
    <t>20-JUN-13</t>
  </si>
  <si>
    <t>1350609991</t>
  </si>
  <si>
    <t>9171431</t>
  </si>
  <si>
    <t>FLANKCILENE GONCALVES DE SOUSA</t>
  </si>
  <si>
    <t>T1268702</t>
  </si>
  <si>
    <t>11-JUL-13</t>
  </si>
  <si>
    <t>1350308098</t>
  </si>
  <si>
    <t>196202</t>
  </si>
  <si>
    <t>T1661538</t>
  </si>
  <si>
    <t>1350664969</t>
  </si>
  <si>
    <t>RETEN¿¿O</t>
  </si>
  <si>
    <t>T1791929</t>
  </si>
  <si>
    <t>1350391911</t>
  </si>
  <si>
    <t>9007348</t>
  </si>
  <si>
    <t>NET TOP HD MAX COL</t>
  </si>
  <si>
    <t>T1521908</t>
  </si>
  <si>
    <t>ABEGAIL CRISTINA DOS SANTOS</t>
  </si>
  <si>
    <t>T1791838</t>
  </si>
  <si>
    <t>1350950091</t>
  </si>
  <si>
    <t>52648</t>
  </si>
  <si>
    <t>999 CONTINGENCIA</t>
  </si>
  <si>
    <t>12-JUL-13</t>
  </si>
  <si>
    <t>JP23</t>
  </si>
  <si>
    <t>1350961712</t>
  </si>
  <si>
    <t>88611</t>
  </si>
  <si>
    <t>LYELLY JANNY RODRIGUES DA SILVA SANTOS</t>
  </si>
  <si>
    <t>N0136782</t>
  </si>
  <si>
    <t>JP26</t>
  </si>
  <si>
    <t>1350954264</t>
  </si>
  <si>
    <t>52326</t>
  </si>
  <si>
    <t>1350980803</t>
  </si>
  <si>
    <t>28857</t>
  </si>
  <si>
    <t>1350957784</t>
  </si>
  <si>
    <t>43514</t>
  </si>
  <si>
    <t>1350964412</t>
  </si>
  <si>
    <t>210453</t>
  </si>
  <si>
    <t>1350967033</t>
  </si>
  <si>
    <t>210579</t>
  </si>
  <si>
    <t>1350978507</t>
  </si>
  <si>
    <t>277261</t>
  </si>
  <si>
    <t>JP37</t>
  </si>
  <si>
    <t>1350960216</t>
  </si>
  <si>
    <t>71161</t>
  </si>
  <si>
    <t>1348436761</t>
  </si>
  <si>
    <t>508006</t>
  </si>
  <si>
    <t>ABDEL RAHIM DE SOUZA IBRAHIM</t>
  </si>
  <si>
    <t>N0138778</t>
  </si>
  <si>
    <t>COM_VENDAS_LOCAIS_SUPERVISOR</t>
  </si>
  <si>
    <t>1350962511</t>
  </si>
  <si>
    <t>88620</t>
  </si>
  <si>
    <t>1350957638</t>
  </si>
  <si>
    <t>61469</t>
  </si>
  <si>
    <t>JP42</t>
  </si>
  <si>
    <t>1350905620</t>
  </si>
  <si>
    <t>415912</t>
  </si>
  <si>
    <t>NET MAIS HD CONFORTO</t>
  </si>
  <si>
    <t>TATIANE DE ARAUJO BARROS</t>
  </si>
  <si>
    <t>1347091835</t>
  </si>
  <si>
    <t>349696</t>
  </si>
  <si>
    <t>T1942372</t>
  </si>
  <si>
    <t>T1335220</t>
  </si>
  <si>
    <t>1350483395</t>
  </si>
  <si>
    <t>292697</t>
  </si>
  <si>
    <t>COMBO NET TOP HD FUTEBOL FID PA GR</t>
  </si>
  <si>
    <t>T1654705</t>
  </si>
  <si>
    <t>JARLENE FARIAS SANTOS</t>
  </si>
  <si>
    <t>T1287502</t>
  </si>
  <si>
    <t>1351033870</t>
  </si>
  <si>
    <t>264933</t>
  </si>
  <si>
    <t>T1885598</t>
  </si>
  <si>
    <t>13-JUL-13</t>
  </si>
  <si>
    <t>1351022889</t>
  </si>
  <si>
    <t>300162</t>
  </si>
  <si>
    <t>T1681306</t>
  </si>
  <si>
    <t>1349397645</t>
  </si>
  <si>
    <t>56593</t>
  </si>
  <si>
    <t>1351058732</t>
  </si>
  <si>
    <t>9133343</t>
  </si>
  <si>
    <t>COMBO NET FACIL HD P/10M CONF FID</t>
  </si>
  <si>
    <t>ADBEL PRESLEY DE OLIVEIRA TOMAZ</t>
  </si>
  <si>
    <t>T1989100</t>
  </si>
  <si>
    <t>1350806877</t>
  </si>
  <si>
    <t>460159</t>
  </si>
  <si>
    <t>JP39</t>
  </si>
  <si>
    <t>1349316501</t>
  </si>
  <si>
    <t>415190</t>
  </si>
  <si>
    <t>ANGELA APARECIDA DANTAS DA SILVA</t>
  </si>
  <si>
    <t>T1766235</t>
  </si>
  <si>
    <t>1350881724</t>
  </si>
  <si>
    <t>9146542</t>
  </si>
  <si>
    <t>JOARA DE SOUSA OLIVEIRA</t>
  </si>
  <si>
    <t>1351002045</t>
  </si>
  <si>
    <t>395205</t>
  </si>
  <si>
    <t>T1751888</t>
  </si>
  <si>
    <t>JP03</t>
  </si>
  <si>
    <t>1351187386</t>
  </si>
  <si>
    <t>385503</t>
  </si>
  <si>
    <t>ACACIA DOS SANTOS CARVALHO</t>
  </si>
  <si>
    <t>T1732507</t>
  </si>
  <si>
    <t>14-JUL-13</t>
  </si>
  <si>
    <t>1351225402</t>
  </si>
  <si>
    <t>433376</t>
  </si>
  <si>
    <t>NET MAIS HD CINEMA CONFORTO</t>
  </si>
  <si>
    <t>T1680170</t>
  </si>
  <si>
    <t>1351226054</t>
  </si>
  <si>
    <t>483821</t>
  </si>
  <si>
    <t>T1940570</t>
  </si>
  <si>
    <t>T1853789</t>
  </si>
  <si>
    <t>1351304343</t>
  </si>
  <si>
    <t>17103</t>
  </si>
  <si>
    <t>T1713288</t>
  </si>
  <si>
    <t>15-JUL-13</t>
  </si>
  <si>
    <t>1351303612</t>
  </si>
  <si>
    <t>253494</t>
  </si>
  <si>
    <t>COMBO NET MAIS DIG CINEMA CONF FID PA GR</t>
  </si>
  <si>
    <t>ABDIEL EVANGELISTA DA SILVA</t>
  </si>
  <si>
    <t>T1876638</t>
  </si>
  <si>
    <t>1351481125</t>
  </si>
  <si>
    <t>430080</t>
  </si>
  <si>
    <t>T1794036</t>
  </si>
  <si>
    <t>1351343863</t>
  </si>
  <si>
    <t>290086</t>
  </si>
  <si>
    <t>T1679779</t>
  </si>
  <si>
    <t>JP20</t>
  </si>
  <si>
    <t>1351787753</t>
  </si>
  <si>
    <t>478106</t>
  </si>
  <si>
    <t>T1903596</t>
  </si>
  <si>
    <t>ELANE CRISTINA FERREIRA MOUZINHO</t>
  </si>
  <si>
    <t>T1282095</t>
  </si>
  <si>
    <t>16-JUL-13</t>
  </si>
  <si>
    <t>1351004597</t>
  </si>
  <si>
    <t>T1388928</t>
  </si>
  <si>
    <t>1351747423</t>
  </si>
  <si>
    <t>438531</t>
  </si>
  <si>
    <t>RETENCAO/REVERSAO</t>
  </si>
  <si>
    <t>N5733913</t>
  </si>
  <si>
    <t>TEC_COP_ROTEAMENTO</t>
  </si>
  <si>
    <t>T1792624</t>
  </si>
  <si>
    <t>1351616530</t>
  </si>
  <si>
    <t>9126762</t>
  </si>
  <si>
    <t>ANA ADELMA LIMA LAURENTINO</t>
  </si>
  <si>
    <t>T1731498</t>
  </si>
  <si>
    <t>1352026536</t>
  </si>
  <si>
    <t>400582</t>
  </si>
  <si>
    <t>17-JUL-13</t>
  </si>
  <si>
    <t>1351802054</t>
  </si>
  <si>
    <t>193130</t>
  </si>
  <si>
    <t>CBO NET ESSENCIAL HD CINEMA P-VTA 10MB</t>
  </si>
  <si>
    <t>T1765516</t>
  </si>
  <si>
    <t>JP14</t>
  </si>
  <si>
    <t>1352004295</t>
  </si>
  <si>
    <t>9127459</t>
  </si>
  <si>
    <t>T1287631</t>
  </si>
  <si>
    <t>T1679353</t>
  </si>
  <si>
    <t>1351599877</t>
  </si>
  <si>
    <t>294066</t>
  </si>
  <si>
    <t>NET MAIS HD TELECINE CONFORTO</t>
  </si>
  <si>
    <t>SONALY DA SILVA</t>
  </si>
  <si>
    <t>T1338624</t>
  </si>
  <si>
    <t>1351746411</t>
  </si>
  <si>
    <t>T2024634</t>
  </si>
  <si>
    <t>T1754098</t>
  </si>
  <si>
    <t>1352142490</t>
  </si>
  <si>
    <t>182771</t>
  </si>
  <si>
    <t>CBO NET MAIS DIG TELECINE CONF FID PA GR</t>
  </si>
  <si>
    <t>MICHELLE APARECIDA DE OLIVEIRA</t>
  </si>
  <si>
    <t>T1366243</t>
  </si>
  <si>
    <t>1351919031</t>
  </si>
  <si>
    <t>9103959</t>
  </si>
  <si>
    <t>KESSIA MONISE DA SILVA</t>
  </si>
  <si>
    <t>T1657721</t>
  </si>
  <si>
    <t>1352019471</t>
  </si>
  <si>
    <t>220815</t>
  </si>
  <si>
    <t>GILMARA CRUZ DE ALMEIDA</t>
  </si>
  <si>
    <t>T1280504</t>
  </si>
  <si>
    <t>1352126021</t>
  </si>
  <si>
    <t>240531</t>
  </si>
  <si>
    <t>T1937066</t>
  </si>
  <si>
    <t>T1391652</t>
  </si>
  <si>
    <t>1352223805</t>
  </si>
  <si>
    <t>SIMONE DANTAS ARAUJO</t>
  </si>
  <si>
    <t>T1677068</t>
  </si>
  <si>
    <t>18-JUL-13</t>
  </si>
  <si>
    <t>1352427508</t>
  </si>
  <si>
    <t>100117</t>
  </si>
  <si>
    <t>T1358480</t>
  </si>
  <si>
    <t>1352395265</t>
  </si>
  <si>
    <t>9000017</t>
  </si>
  <si>
    <t>T1793549</t>
  </si>
  <si>
    <t>1352202071</t>
  </si>
  <si>
    <t>9120411</t>
  </si>
  <si>
    <t>1351748244</t>
  </si>
  <si>
    <t>1352442011</t>
  </si>
  <si>
    <t>196766</t>
  </si>
  <si>
    <t>NET MAIS DIG TELECINE COL PA GRATIS</t>
  </si>
  <si>
    <t>1347239558</t>
  </si>
  <si>
    <t>T1847015</t>
  </si>
  <si>
    <t>1352579900</t>
  </si>
  <si>
    <t>378651</t>
  </si>
  <si>
    <t>19-JUL-13</t>
  </si>
  <si>
    <t>1351718724</t>
  </si>
  <si>
    <t>253592</t>
  </si>
  <si>
    <t>T1753771</t>
  </si>
  <si>
    <t>T1961196</t>
  </si>
  <si>
    <t>1352669034</t>
  </si>
  <si>
    <t>18075</t>
  </si>
  <si>
    <t>1352685144</t>
  </si>
  <si>
    <t>69910</t>
  </si>
  <si>
    <t>1352662880</t>
  </si>
  <si>
    <t>4464</t>
  </si>
  <si>
    <t>1352675749</t>
  </si>
  <si>
    <t>24144</t>
  </si>
  <si>
    <t>1352681645</t>
  </si>
  <si>
    <t>61567</t>
  </si>
  <si>
    <t>1352587145</t>
  </si>
  <si>
    <t>46266</t>
  </si>
  <si>
    <t>T2007404</t>
  </si>
  <si>
    <t>1352587943</t>
  </si>
  <si>
    <t>1352585592</t>
  </si>
  <si>
    <t>1352891367</t>
  </si>
  <si>
    <t>397790</t>
  </si>
  <si>
    <t>JESSICA AIANDRA RIBEIRO SIMOES</t>
  </si>
  <si>
    <t>T1556458</t>
  </si>
  <si>
    <t>20-JUL-13</t>
  </si>
  <si>
    <t>1350675219</t>
  </si>
  <si>
    <t>9103940</t>
  </si>
  <si>
    <t>T1753496</t>
  </si>
  <si>
    <t>1352927299</t>
  </si>
  <si>
    <t>2899</t>
  </si>
  <si>
    <t>T1507122</t>
  </si>
  <si>
    <t>21-JUL-13</t>
  </si>
  <si>
    <t>T1753886</t>
  </si>
  <si>
    <t>1353139396</t>
  </si>
  <si>
    <t>260015</t>
  </si>
  <si>
    <t>22-JUL-13</t>
  </si>
  <si>
    <t>1352202756</t>
  </si>
  <si>
    <t>1353179727</t>
  </si>
  <si>
    <t>9120640</t>
  </si>
  <si>
    <t>1353048328</t>
  </si>
  <si>
    <t>71447</t>
  </si>
  <si>
    <t>PO NET TOP DIG CONFORTO FIDELIDADE</t>
  </si>
  <si>
    <t>T1793525</t>
  </si>
  <si>
    <t>1353088849</t>
  </si>
  <si>
    <t>458980</t>
  </si>
  <si>
    <t>T1725712</t>
  </si>
  <si>
    <t>T1556056</t>
  </si>
  <si>
    <t>1353155394</t>
  </si>
  <si>
    <t>8953</t>
  </si>
  <si>
    <t>T1944447</t>
  </si>
  <si>
    <t>1353129766</t>
  </si>
  <si>
    <t>T1361889</t>
  </si>
  <si>
    <t>1352851756</t>
  </si>
  <si>
    <t>61094</t>
  </si>
  <si>
    <t>T1657290</t>
  </si>
  <si>
    <t>T1750391</t>
  </si>
  <si>
    <t>T1793458</t>
  </si>
  <si>
    <t>1353195152</t>
  </si>
  <si>
    <t>16580</t>
  </si>
  <si>
    <t>1353234965</t>
  </si>
  <si>
    <t>88568</t>
  </si>
  <si>
    <t>1353223514</t>
  </si>
  <si>
    <t>79247</t>
  </si>
  <si>
    <t>1353215605</t>
  </si>
  <si>
    <t>1353168444</t>
  </si>
  <si>
    <t>13721</t>
  </si>
  <si>
    <t>1353054246</t>
  </si>
  <si>
    <t>8042</t>
  </si>
  <si>
    <t>1353218484</t>
  </si>
  <si>
    <t>76442</t>
  </si>
  <si>
    <t>1352671172</t>
  </si>
  <si>
    <t>T1361097</t>
  </si>
  <si>
    <t>1353569191</t>
  </si>
  <si>
    <t>345269</t>
  </si>
  <si>
    <t>T1746869</t>
  </si>
  <si>
    <t>23-JUL-13</t>
  </si>
  <si>
    <t>1353541573</t>
  </si>
  <si>
    <t>233974</t>
  </si>
  <si>
    <t>1353520525</t>
  </si>
  <si>
    <t>32048</t>
  </si>
  <si>
    <t>T1791527</t>
  </si>
  <si>
    <t>JP25</t>
  </si>
  <si>
    <t>1353153033</t>
  </si>
  <si>
    <t>302988</t>
  </si>
  <si>
    <t>1353359637</t>
  </si>
  <si>
    <t>108275</t>
  </si>
  <si>
    <t>1353354845</t>
  </si>
  <si>
    <t>316419</t>
  </si>
  <si>
    <t>PO CB NET MAIS DIG P/10M EXCLUSIVO CF FD</t>
  </si>
  <si>
    <t>T1793824</t>
  </si>
  <si>
    <t>T1734608</t>
  </si>
  <si>
    <t>1353528758</t>
  </si>
  <si>
    <t>188782</t>
  </si>
  <si>
    <t>1353538502</t>
  </si>
  <si>
    <t>198742</t>
  </si>
  <si>
    <t>1353470338</t>
  </si>
  <si>
    <t>92302</t>
  </si>
  <si>
    <t>1353667718</t>
  </si>
  <si>
    <t>219349</t>
  </si>
  <si>
    <t>CRISTIANE FERNANDES MACHADO</t>
  </si>
  <si>
    <t>T1746871</t>
  </si>
  <si>
    <t>24-JUL-13</t>
  </si>
  <si>
    <t>1353666560</t>
  </si>
  <si>
    <t>396926</t>
  </si>
  <si>
    <t>T1616985</t>
  </si>
  <si>
    <t>SUSIMARY DA SILVA ABRANTES</t>
  </si>
  <si>
    <t>T1275755</t>
  </si>
  <si>
    <t>1353466748</t>
  </si>
  <si>
    <t>279103</t>
  </si>
  <si>
    <t>NET MAIS TV DIG COL PA GRATIS</t>
  </si>
  <si>
    <t>T1659638</t>
  </si>
  <si>
    <t>THAIS NASCIMENTO GOMES</t>
  </si>
  <si>
    <t>T1908156</t>
  </si>
  <si>
    <t>GES_REVERSAO_FLEX</t>
  </si>
  <si>
    <t>1351629444</t>
  </si>
  <si>
    <t>437463</t>
  </si>
  <si>
    <t>JP28</t>
  </si>
  <si>
    <t>1354028923</t>
  </si>
  <si>
    <t>267229</t>
  </si>
  <si>
    <t>T1662415</t>
  </si>
  <si>
    <t>BLACK VIP</t>
  </si>
  <si>
    <t>25-JUL-13</t>
  </si>
  <si>
    <t>1353961995</t>
  </si>
  <si>
    <t>30473</t>
  </si>
  <si>
    <t>T1338727</t>
  </si>
  <si>
    <t>1354004242</t>
  </si>
  <si>
    <t>264906</t>
  </si>
  <si>
    <t>1353948349</t>
  </si>
  <si>
    <t>242955</t>
  </si>
  <si>
    <t>1353987870</t>
  </si>
  <si>
    <t>248635</t>
  </si>
  <si>
    <t>1354019024</t>
  </si>
  <si>
    <t>265869</t>
  </si>
  <si>
    <t>1353951916</t>
  </si>
  <si>
    <t>245081</t>
  </si>
  <si>
    <t>1350956468</t>
  </si>
  <si>
    <t>1353944929</t>
  </si>
  <si>
    <t>1354032030</t>
  </si>
  <si>
    <t>1353994182</t>
  </si>
  <si>
    <t>264602</t>
  </si>
  <si>
    <t>1353950656</t>
  </si>
  <si>
    <t>244593</t>
  </si>
  <si>
    <t>1354197863</t>
  </si>
  <si>
    <t>274064</t>
  </si>
  <si>
    <t>TACYARA AMELIA RAMOS CARNEIRO ALMEIDA</t>
  </si>
  <si>
    <t>T1313789</t>
  </si>
  <si>
    <t>26-JUL-13</t>
  </si>
  <si>
    <t>1354176051</t>
  </si>
  <si>
    <t>24886</t>
  </si>
  <si>
    <t>1354258557</t>
  </si>
  <si>
    <t>244931</t>
  </si>
  <si>
    <t>1354287391</t>
  </si>
  <si>
    <t>287392</t>
  </si>
  <si>
    <t>1354200015</t>
  </si>
  <si>
    <t>183027</t>
  </si>
  <si>
    <t>1354045124</t>
  </si>
  <si>
    <t>269947</t>
  </si>
  <si>
    <t>1354047799</t>
  </si>
  <si>
    <t>270235</t>
  </si>
  <si>
    <t>T1407530</t>
  </si>
  <si>
    <t>1354343338</t>
  </si>
  <si>
    <t>296042</t>
  </si>
  <si>
    <t>1354268648</t>
  </si>
  <si>
    <t>167550</t>
  </si>
  <si>
    <t>PAULA ADRIANA MACEDO DA ROCHA</t>
  </si>
  <si>
    <t>T1962396</t>
  </si>
  <si>
    <t>1354201083</t>
  </si>
  <si>
    <t>66553</t>
  </si>
  <si>
    <t>JP33</t>
  </si>
  <si>
    <t>1354035189</t>
  </si>
  <si>
    <t>269509</t>
  </si>
  <si>
    <t>1353946213</t>
  </si>
  <si>
    <t>251543</t>
  </si>
  <si>
    <t>PO NET ESSENCIAL DIG CONFORTO FIDELIDADE</t>
  </si>
  <si>
    <t>1350953443</t>
  </si>
  <si>
    <t>1354164766</t>
  </si>
  <si>
    <t>327529</t>
  </si>
  <si>
    <t>ADRIANA PEREIRA ROSTIROLLA</t>
  </si>
  <si>
    <t>T1594656</t>
  </si>
  <si>
    <t>1354058566</t>
  </si>
  <si>
    <t>221081</t>
  </si>
  <si>
    <t>NET MAIS HD TELECINE COL</t>
  </si>
  <si>
    <t>ANA MARIA BARBOSA FERREIRA</t>
  </si>
  <si>
    <t>T1331925</t>
  </si>
  <si>
    <t>1354790312</t>
  </si>
  <si>
    <t>9185661</t>
  </si>
  <si>
    <t>T2006204</t>
  </si>
  <si>
    <t>T1921380</t>
  </si>
  <si>
    <t>29-JUL-13</t>
  </si>
  <si>
    <t>1354541349</t>
  </si>
  <si>
    <t>301105</t>
  </si>
  <si>
    <t>TIAGO ALEXANDRE FERREIRA</t>
  </si>
  <si>
    <t>T1745865</t>
  </si>
  <si>
    <t>27-JUL-13</t>
  </si>
  <si>
    <t>1354574558</t>
  </si>
  <si>
    <t>339029</t>
  </si>
  <si>
    <t>JAQUELLINE ALMEIDA DE SOUZA</t>
  </si>
  <si>
    <t>28-JUL-13</t>
  </si>
  <si>
    <t>1354676214</t>
  </si>
  <si>
    <t>87089</t>
  </si>
  <si>
    <t>1354670982</t>
  </si>
  <si>
    <t>407376</t>
  </si>
  <si>
    <t>1354630483</t>
  </si>
  <si>
    <t>309683</t>
  </si>
  <si>
    <t>1354642060</t>
  </si>
  <si>
    <t>344860</t>
  </si>
  <si>
    <t>1354741802</t>
  </si>
  <si>
    <t>413856</t>
  </si>
  <si>
    <t>1354708142</t>
  </si>
  <si>
    <t>1354643151</t>
  </si>
  <si>
    <t>346444</t>
  </si>
  <si>
    <t>1354629504</t>
  </si>
  <si>
    <t>308999</t>
  </si>
  <si>
    <t>JP38</t>
  </si>
</sst>
</file>

<file path=xl/styles.xml><?xml version="1.0" encoding="utf-8"?>
<styleSheet xmlns="http://schemas.openxmlformats.org/spreadsheetml/2006/main">
  <numFmts count="3">
    <numFmt numFmtId="164" formatCode="#.0\ &quot;%&quot;"/>
    <numFmt numFmtId="165" formatCode="dddd&quot;, &quot;dd&quot; de &quot;mmmm&quot; de &quot;yyyy&quot; as &quot;hh:mm"/>
    <numFmt numFmtId="166" formatCode="dddd&quot;, &quot;dd&quot; de &quot;mmmm&quot; de &quot;yyyy&quot; às &quot;hh:mm"/>
  </numFmts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indexed="4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8"/>
      <color theme="3" tint="0.39997558519241921"/>
      <name val="Calibri"/>
      <family val="2"/>
      <scheme val="minor"/>
    </font>
    <font>
      <b/>
      <i/>
      <sz val="9"/>
      <color theme="3" tint="0.3999755851924192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1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0" xfId="0" applyBorder="1"/>
    <xf numFmtId="164" fontId="0" fillId="0" borderId="1" xfId="1" applyNumberFormat="1" applyFont="1" applyBorder="1"/>
    <xf numFmtId="0" fontId="2" fillId="0" borderId="1" xfId="0" applyFont="1" applyBorder="1"/>
    <xf numFmtId="0" fontId="0" fillId="0" borderId="0" xfId="0" applyNumberFormat="1"/>
    <xf numFmtId="14" fontId="0" fillId="0" borderId="0" xfId="0" applyNumberFormat="1" applyBorder="1"/>
    <xf numFmtId="0" fontId="0" fillId="0" borderId="1" xfId="0" applyFill="1" applyBorder="1"/>
    <xf numFmtId="0" fontId="0" fillId="0" borderId="0" xfId="0" applyFill="1" applyBorder="1"/>
    <xf numFmtId="0" fontId="2" fillId="6" borderId="1" xfId="0" applyFont="1" applyFill="1" applyBorder="1"/>
    <xf numFmtId="0" fontId="2" fillId="4" borderId="1" xfId="0" applyFont="1" applyFill="1" applyBorder="1"/>
    <xf numFmtId="0" fontId="2" fillId="7" borderId="0" xfId="0" applyFont="1" applyFill="1" applyAlignment="1"/>
    <xf numFmtId="0" fontId="0" fillId="8" borderId="1" xfId="0" applyFill="1" applyBorder="1"/>
    <xf numFmtId="0" fontId="2" fillId="8" borderId="1" xfId="0" applyFont="1" applyFill="1" applyBorder="1"/>
    <xf numFmtId="0" fontId="2" fillId="0" borderId="0" xfId="0" applyFont="1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right"/>
    </xf>
    <xf numFmtId="0" fontId="0" fillId="0" borderId="0" xfId="0" applyFill="1" applyBorder="1" applyAlignment="1"/>
    <xf numFmtId="0" fontId="0" fillId="7" borderId="1" xfId="0" applyFill="1" applyBorder="1"/>
    <xf numFmtId="0" fontId="0" fillId="0" borderId="0" xfId="0" applyFont="1" applyFill="1" applyBorder="1"/>
    <xf numFmtId="0" fontId="0" fillId="0" borderId="1" xfId="0" applyBorder="1" applyAlignment="1"/>
    <xf numFmtId="0" fontId="0" fillId="0" borderId="1" xfId="0" applyFill="1" applyBorder="1" applyAlignment="1"/>
    <xf numFmtId="0" fontId="0" fillId="0" borderId="1" xfId="0" applyFont="1" applyFill="1" applyBorder="1"/>
    <xf numFmtId="165" fontId="0" fillId="0" borderId="0" xfId="0" applyNumberFormat="1"/>
    <xf numFmtId="14" fontId="0" fillId="6" borderId="1" xfId="0" applyNumberFormat="1" applyFill="1" applyBorder="1"/>
    <xf numFmtId="0" fontId="0" fillId="9" borderId="1" xfId="0" applyFill="1" applyBorder="1"/>
    <xf numFmtId="166" fontId="0" fillId="0" borderId="0" xfId="0" applyNumberFormat="1"/>
    <xf numFmtId="0" fontId="0" fillId="0" borderId="1" xfId="0" applyNumberFormat="1" applyFont="1" applyBorder="1" applyAlignment="1"/>
    <xf numFmtId="0" fontId="4" fillId="0" borderId="1" xfId="0" applyFont="1" applyBorder="1"/>
    <xf numFmtId="0" fontId="0" fillId="0" borderId="7" xfId="0" applyBorder="1"/>
    <xf numFmtId="0" fontId="0" fillId="0" borderId="3" xfId="0" applyBorder="1"/>
    <xf numFmtId="0" fontId="0" fillId="0" borderId="3" xfId="0" applyFill="1" applyBorder="1"/>
    <xf numFmtId="0" fontId="0" fillId="0" borderId="8" xfId="0" applyBorder="1"/>
    <xf numFmtId="0" fontId="0" fillId="0" borderId="4" xfId="0" applyBorder="1"/>
    <xf numFmtId="0" fontId="0" fillId="11" borderId="0" xfId="0" applyFill="1"/>
    <xf numFmtId="0" fontId="2" fillId="11" borderId="0" xfId="0" applyFont="1" applyFill="1"/>
    <xf numFmtId="0" fontId="0" fillId="2" borderId="1" xfId="0" applyFill="1" applyBorder="1"/>
    <xf numFmtId="0" fontId="0" fillId="12" borderId="1" xfId="0" applyFill="1" applyBorder="1"/>
    <xf numFmtId="0" fontId="0" fillId="13" borderId="1" xfId="0" applyFill="1" applyBorder="1"/>
    <xf numFmtId="14" fontId="0" fillId="0" borderId="0" xfId="0" applyNumberFormat="1" applyFill="1" applyBorder="1"/>
    <xf numFmtId="0" fontId="0" fillId="0" borderId="0" xfId="0" applyNumberFormat="1" applyFill="1" applyBorder="1"/>
    <xf numFmtId="0" fontId="2" fillId="0" borderId="0" xfId="0" applyFont="1"/>
    <xf numFmtId="0" fontId="2" fillId="0" borderId="2" xfId="0" applyFont="1" applyBorder="1"/>
    <xf numFmtId="14" fontId="0" fillId="6" borderId="9" xfId="0" applyNumberFormat="1" applyFill="1" applyBorder="1"/>
    <xf numFmtId="14" fontId="0" fillId="0" borderId="1" xfId="0" applyNumberFormat="1" applyBorder="1"/>
    <xf numFmtId="0" fontId="0" fillId="0" borderId="1" xfId="0" applyBorder="1" applyAlignment="1">
      <alignment horizontal="center"/>
    </xf>
    <xf numFmtId="0" fontId="0" fillId="14" borderId="0" xfId="0" applyFill="1"/>
    <xf numFmtId="0" fontId="0" fillId="0" borderId="1" xfId="0" applyFont="1" applyBorder="1" applyAlignment="1"/>
    <xf numFmtId="0" fontId="0" fillId="3" borderId="0" xfId="0" applyFill="1"/>
    <xf numFmtId="0" fontId="2" fillId="3" borderId="0" xfId="0" applyFont="1" applyFill="1"/>
    <xf numFmtId="0" fontId="0" fillId="9" borderId="4" xfId="0" applyFill="1" applyBorder="1"/>
    <xf numFmtId="0" fontId="0" fillId="9" borderId="6" xfId="0" applyFill="1" applyBorder="1"/>
    <xf numFmtId="0" fontId="0" fillId="15" borderId="0" xfId="0" applyFill="1"/>
    <xf numFmtId="0" fontId="2" fillId="15" borderId="0" xfId="0" applyFont="1" applyFill="1"/>
    <xf numFmtId="14" fontId="0" fillId="16" borderId="1" xfId="0" applyNumberFormat="1" applyFill="1" applyBorder="1"/>
    <xf numFmtId="14" fontId="0" fillId="16" borderId="9" xfId="0" applyNumberFormat="1" applyFill="1" applyBorder="1"/>
    <xf numFmtId="0" fontId="0" fillId="9" borderId="2" xfId="0" applyFill="1" applyBorder="1"/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10" borderId="1" xfId="0" applyFont="1" applyFill="1" applyBorder="1" applyAlignment="1">
      <alignment horizontal="center"/>
    </xf>
    <xf numFmtId="14" fontId="2" fillId="0" borderId="0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2" fillId="5" borderId="1" xfId="0" applyFont="1" applyFill="1" applyBorder="1" applyAlignment="1">
      <alignment horizontal="center"/>
    </xf>
  </cellXfs>
  <cellStyles count="2">
    <cellStyle name="Normal" xfId="0" builtinId="0"/>
    <cellStyle name="Porcentagem" xfId="1" builtinId="5"/>
  </cellStyles>
  <dxfs count="49"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</dxfs>
  <tableStyles count="0" defaultTableStyle="TableStyleMedium9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/>
          <a:lstStyle/>
          <a:p>
            <a:pPr>
              <a:defRPr/>
            </a:pPr>
            <a:r>
              <a:rPr lang="en-US"/>
              <a:t>Ordens Liberadas</a:t>
            </a:r>
          </a:p>
        </c:rich>
      </c:tx>
      <c:layout>
        <c:manualLayout>
          <c:xMode val="edge"/>
          <c:yMode val="edge"/>
          <c:x val="0.31201377952756626"/>
          <c:y val="2.5974025974026042E-2"/>
        </c:manualLayout>
      </c:layout>
    </c:title>
    <c:plotArea>
      <c:layout/>
      <c:barChart>
        <c:barDir val="col"/>
        <c:grouping val="clustered"/>
        <c:ser>
          <c:idx val="0"/>
          <c:order val="0"/>
          <c:tx>
            <c:strRef>
              <c:f>resumo!$D$10</c:f>
              <c:strCache>
                <c:ptCount val="1"/>
                <c:pt idx="0">
                  <c:v>Porcentagem</c:v>
                </c:pt>
              </c:strCache>
            </c:strRef>
          </c:tx>
          <c:cat>
            <c:strRef>
              <c:f>resumo!$C$14:$C$36</c:f>
              <c:strCache>
                <c:ptCount val="23"/>
                <c:pt idx="0">
                  <c:v>106 CLIENTE AUSENTE</c:v>
                </c:pt>
                <c:pt idx="1">
                  <c:v>107 ENTRADA NAO AUTORIZADA</c:v>
                </c:pt>
                <c:pt idx="2">
                  <c:v>110 PROBLEMA NA TUBULACAO</c:v>
                </c:pt>
                <c:pt idx="3">
                  <c:v>27-REAGENDAMENTO - SOLICITADO PELO ASSINANTE</c:v>
                </c:pt>
                <c:pt idx="4">
                  <c:v>301 TIPO DE OS INCORRETA</c:v>
                </c:pt>
                <c:pt idx="5">
                  <c:v>302-Desistência da Assinatura / Servico</c:v>
                </c:pt>
                <c:pt idx="6">
                  <c:v>303 FORMA DE INSTALACAO NAO ACEITA PELO CLIENTE</c:v>
                </c:pt>
                <c:pt idx="7">
                  <c:v>312 CLIENTE NAO SOLICITOU O SERVICO</c:v>
                </c:pt>
                <c:pt idx="8">
                  <c:v>312-Cliente não solicitou serviço</c:v>
                </c:pt>
                <c:pt idx="9">
                  <c:v>447 NECESSARIO REFAZER CABEAMENTO</c:v>
                </c:pt>
                <c:pt idx="10">
                  <c:v>70-DESITENCIA DO SERVICO</c:v>
                </c:pt>
                <c:pt idx="11">
                  <c:v>104 FALTA DE MATERIAL</c:v>
                </c:pt>
                <c:pt idx="12">
                  <c:v>113 SEM TV / COMPUTADOR NA RESIDENCIA</c:v>
                </c:pt>
                <c:pt idx="13">
                  <c:v>103 CHUVA</c:v>
                </c:pt>
                <c:pt idx="14">
                  <c:v>301-Tipo de OS Incorreta</c:v>
                </c:pt>
                <c:pt idx="15">
                  <c:v>307 RESIDENCIA EM CONSTRUCAO / REFORMA</c:v>
                </c:pt>
                <c:pt idx="16">
                  <c:v>Cancelado automaticamente pelo sistema</c:v>
                </c:pt>
                <c:pt idx="17">
                  <c:v>997 - Cliente nao aceita aguardar</c:v>
                </c:pt>
                <c:pt idx="18">
                  <c:v>603-Cancelado por Ativo / Rede Ext. com Problema</c:v>
                </c:pt>
                <c:pt idx="19">
                  <c:v>203 REDE EXTERNA COM PROBLEMA</c:v>
                </c:pt>
                <c:pt idx="20">
                  <c:v>NAO ENCONTRADO</c:v>
                </c:pt>
                <c:pt idx="21">
                  <c:v>112 SEM ACESSO AO DG / SOTAO</c:v>
                </c:pt>
                <c:pt idx="22">
                  <c:v>999 CONTINGENCIA</c:v>
                </c:pt>
              </c:strCache>
            </c:strRef>
          </c:cat>
          <c:val>
            <c:numRef>
              <c:f>resumo!$D$14:$D$36</c:f>
              <c:numCache>
                <c:formatCode>#.0\ "%"</c:formatCode>
                <c:ptCount val="23"/>
                <c:pt idx="0">
                  <c:v>28.571428571428573</c:v>
                </c:pt>
                <c:pt idx="1">
                  <c:v>0</c:v>
                </c:pt>
                <c:pt idx="2">
                  <c:v>0</c:v>
                </c:pt>
                <c:pt idx="3">
                  <c:v>14.285714285714286</c:v>
                </c:pt>
                <c:pt idx="4">
                  <c:v>28.571428571428573</c:v>
                </c:pt>
                <c:pt idx="5">
                  <c:v>0</c:v>
                </c:pt>
                <c:pt idx="6">
                  <c:v>0</c:v>
                </c:pt>
                <c:pt idx="7">
                  <c:v>28.571428571428573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axId val="91300608"/>
        <c:axId val="91302528"/>
      </c:barChart>
      <c:catAx>
        <c:axId val="91300608"/>
        <c:scaling>
          <c:orientation val="minMax"/>
        </c:scaling>
        <c:axPos val="b"/>
        <c:tickLblPos val="nextTo"/>
        <c:crossAx val="91302528"/>
        <c:crosses val="autoZero"/>
        <c:auto val="1"/>
        <c:lblAlgn val="ctr"/>
        <c:lblOffset val="100"/>
      </c:catAx>
      <c:valAx>
        <c:axId val="91302528"/>
        <c:scaling>
          <c:orientation val="minMax"/>
        </c:scaling>
        <c:axPos val="l"/>
        <c:majorGridlines/>
        <c:numFmt formatCode="#.0\ &quot;%&quot;" sourceLinked="1"/>
        <c:tickLblPos val="nextTo"/>
        <c:crossAx val="91300608"/>
        <c:crosses val="autoZero"/>
        <c:crossBetween val="between"/>
      </c:valAx>
    </c:plotArea>
    <c:legend>
      <c:legendPos val="r"/>
      <c:layout/>
    </c:legend>
    <c:plotVisOnly val="1"/>
    <c:dispBlanksAs val="gap"/>
  </c:chart>
  <c:printSettings>
    <c:headerFooter/>
    <c:pageMargins b="0.78740157499999996" l="0.511811024" r="0.511811024" t="0.78740157499999996" header="0.31496062000000624" footer="0.3149606200000062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57150</xdr:rowOff>
    </xdr:from>
    <xdr:to>
      <xdr:col>6</xdr:col>
      <xdr:colOff>400050</xdr:colOff>
      <xdr:row>3</xdr:row>
      <xdr:rowOff>28575</xdr:rowOff>
    </xdr:to>
    <xdr:sp macro="" textlink="">
      <xdr:nvSpPr>
        <xdr:cNvPr id="2" name="Retângulo de cantos arredondados 1"/>
        <xdr:cNvSpPr/>
      </xdr:nvSpPr>
      <xdr:spPr>
        <a:xfrm>
          <a:off x="95250" y="57150"/>
          <a:ext cx="6096000" cy="542925"/>
        </a:xfrm>
        <a:prstGeom prst="roundRect">
          <a:avLst/>
        </a:prstGeom>
        <a:solidFill>
          <a:schemeClr val="bg1"/>
        </a:solidFill>
        <a:ln w="19050">
          <a:solidFill>
            <a:schemeClr val="tx1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800" b="1">
              <a:solidFill>
                <a:schemeClr val="tx1"/>
              </a:solidFill>
            </a:rPr>
            <a:t>SWAP - João Pessoa</a:t>
          </a:r>
        </a:p>
      </xdr:txBody>
    </xdr:sp>
    <xdr:clientData/>
  </xdr:twoCellAnchor>
  <xdr:twoCellAnchor>
    <xdr:from>
      <xdr:col>1</xdr:col>
      <xdr:colOff>95250</xdr:colOff>
      <xdr:row>36</xdr:row>
      <xdr:rowOff>109537</xdr:rowOff>
    </xdr:from>
    <xdr:to>
      <xdr:col>3</xdr:col>
      <xdr:colOff>733425</xdr:colOff>
      <xdr:row>51</xdr:row>
      <xdr:rowOff>185737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ela1" displayName="Tabela1" ref="A1:AA14" totalsRowShown="0">
  <autoFilter ref="A1:AA14"/>
  <tableColumns count="27">
    <tableColumn id="1" name="OS_ID"/>
    <tableColumn id="2" name="DATA_AGENDAMENTO" dataDxfId="48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ela13" displayName="Tabela13" ref="A1:AA7" totalsRowShown="0">
  <autoFilter ref="A1:AA7"/>
  <tableColumns count="27">
    <tableColumn id="1" name="OS_ID"/>
    <tableColumn id="2" name="DATA_AGENDAMENTO" dataDxfId="47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ela14" displayName="Tabela14" ref="A1:AA9" totalsRowShown="0">
  <autoFilter ref="A1:AA9"/>
  <tableColumns count="27">
    <tableColumn id="1" name="OS_ID"/>
    <tableColumn id="2" name="DATA_AGENDAMENTO" dataDxfId="46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ela18" displayName="Tabela18" ref="A1:AA2" totalsRowShown="0">
  <autoFilter ref="A1:AA2"/>
  <sortState ref="A2:AA2">
    <sortCondition descending="1" ref="B1:B30"/>
  </sortState>
  <tableColumns count="27">
    <tableColumn id="1" name="OS_ID"/>
    <tableColumn id="2" name="DATA_AGENDAMENTO" dataDxfId="45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ela146" displayName="Tabela146" ref="A1:AA15" totalsRowShown="0">
  <autoFilter ref="A1:AA15"/>
  <tableColumns count="27">
    <tableColumn id="1" name="OS_ID"/>
    <tableColumn id="2" name="DATA_AGENDAMENTO" dataDxfId="44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ela19" displayName="Tabela19" ref="A1:AA8" totalsRowShown="0">
  <autoFilter ref="A1:AA8"/>
  <sortState ref="A2:AA8">
    <sortCondition descending="1" ref="B1:B30"/>
  </sortState>
  <tableColumns count="27">
    <tableColumn id="1" name="OS_ID"/>
    <tableColumn id="2" name="DATA_AGENDAMENTO" dataDxfId="43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ela145" displayName="Tabela145" ref="A1:AA6" totalsRowShown="0">
  <autoFilter ref="A1:AA6"/>
  <tableColumns count="27">
    <tableColumn id="1" name="OS_ID"/>
    <tableColumn id="2" name="DATA_AGENDAMENTO" dataDxfId="42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ela110" displayName="Tabela110" ref="A1:AA30" totalsRowShown="0">
  <autoFilter ref="A1:AA30"/>
  <sortState ref="A2:AA30">
    <sortCondition descending="1" ref="B1:B30"/>
  </sortState>
  <tableColumns count="27">
    <tableColumn id="1" name="OS_ID"/>
    <tableColumn id="2" name="DATA_AGENDAMENTO" dataDxfId="41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ela17" displayName="Tabela17" ref="A1:AA28" totalsRowShown="0">
  <autoFilter ref="A1:AA28"/>
  <tableColumns count="27">
    <tableColumn id="1" name="OS_ID"/>
    <tableColumn id="2" name="DATA_AGENDAMENTO" dataDxfId="40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ela116" displayName="Tabela116" ref="A1:AA4" totalsRowShown="0">
  <autoFilter ref="A1:AA4"/>
  <sortState ref="A2:AA4">
    <sortCondition descending="1" ref="B1:B75"/>
  </sortState>
  <tableColumns count="27">
    <tableColumn id="1" name="OS_ID"/>
    <tableColumn id="2" name="DATA_AGENDAMENTO" dataDxfId="39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abela111" displayName="Tabela111" ref="A1:AA61" totalsRowShown="0">
  <autoFilter ref="A1:AA61"/>
  <tableColumns count="27">
    <tableColumn id="1" name="OS_ID"/>
    <tableColumn id="2" name="DATA_AGENDAMENTO" dataDxfId="38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abela117" displayName="Tabela117" ref="A1:AA9" totalsRowShown="0">
  <autoFilter ref="A1:AA9"/>
  <sortState ref="A2:AA9">
    <sortCondition descending="1" ref="B1:B75"/>
  </sortState>
  <tableColumns count="27">
    <tableColumn id="1" name="OS_ID"/>
    <tableColumn id="2" name="DATA_AGENDAMENTO" dataDxfId="37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abela113" displayName="Tabela113" ref="A1:AA10" totalsRowShown="0">
  <autoFilter ref="A1:AA10"/>
  <tableColumns count="27">
    <tableColumn id="1" name="OS_ID"/>
    <tableColumn id="2" name="DATA_AGENDAMENTO" dataDxfId="36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abela118" displayName="Tabela118" ref="A1:AA3" totalsRowShown="0">
  <autoFilter ref="A1:AA3"/>
  <sortState ref="A2:AA75">
    <sortCondition descending="1" ref="B1:B75"/>
  </sortState>
  <tableColumns count="27">
    <tableColumn id="1" name="OS_ID"/>
    <tableColumn id="2" name="DATA_AGENDAMENTO" dataDxfId="35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Tabela114" displayName="Tabela114" ref="A1:AA104" totalsRowShown="0">
  <autoFilter ref="A1:AA104"/>
  <tableColumns count="27">
    <tableColumn id="1" name="OS_ID"/>
    <tableColumn id="2" name="DATA_AGENDAMENTO" dataDxfId="34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6" name="Tabela119" displayName="Tabela119" ref="A1:AA13" totalsRowShown="0">
  <autoFilter ref="A1:AA13"/>
  <sortState ref="A2:AA75">
    <sortCondition descending="1" ref="B1:B75"/>
  </sortState>
  <tableColumns count="27">
    <tableColumn id="1" name="OS_ID"/>
    <tableColumn id="2" name="DATA_AGENDAMENTO" dataDxfId="33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7" name="Tabela115" displayName="Tabela115" ref="A1:AA71" totalsRowShown="0">
  <autoFilter ref="A1:AA71"/>
  <tableColumns count="27">
    <tableColumn id="1" name="OS_ID"/>
    <tableColumn id="2" name="DATA_AGENDAMENTO" dataDxfId="32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8" name="Tabela120" displayName="Tabela120" ref="A1:AA4" totalsRowShown="0">
  <autoFilter ref="A1:AA4"/>
  <sortState ref="A2:AA4">
    <sortCondition descending="1" ref="B1:B75"/>
  </sortState>
  <tableColumns count="27">
    <tableColumn id="1" name="OS_ID"/>
    <tableColumn id="2" name="DATA_AGENDAMENTO" dataDxfId="31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9" name="Tabela112" displayName="Tabela112" ref="A1:AA19" totalsRowShown="0">
  <autoFilter ref="A1:AA19"/>
  <tableColumns count="27">
    <tableColumn id="1" name="OS_ID"/>
    <tableColumn id="2" name="DATA_AGENDAMENTO" dataDxfId="30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0" name="Tabela123" displayName="Tabela123" ref="A1:AA5" totalsRowShown="0">
  <autoFilter ref="A1:AA5"/>
  <sortState ref="A2:AA5">
    <sortCondition ref="B1:B106"/>
  </sortState>
  <tableColumns count="27">
    <tableColumn id="1" name="OS_ID"/>
    <tableColumn id="2" name="DATA_AGENDAMENTO" dataDxfId="29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1" name="Tabela11221" displayName="Tabela11221" ref="A1:AA4" totalsRowShown="0">
  <autoFilter ref="A1:AA4"/>
  <tableColumns count="27">
    <tableColumn id="1" name="OS_ID"/>
    <tableColumn id="2" name="DATA_AGENDAMENTO" dataDxfId="28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2" name="Tabela11222" displayName="Tabela11222" ref="A1:AA18" totalsRowShown="0">
  <autoFilter ref="A1:AA18"/>
  <tableColumns count="27">
    <tableColumn id="1" name="OS_ID"/>
    <tableColumn id="2" name="DATA_AGENDAMENTO" dataDxfId="27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3" name="Tabela125" displayName="Tabela125" ref="A1:AA13" totalsRowShown="0">
  <autoFilter ref="A1:AA13"/>
  <sortState ref="A2:AA13">
    <sortCondition ref="B1:B106"/>
  </sortState>
  <tableColumns count="27">
    <tableColumn id="1" name="OS_ID"/>
    <tableColumn id="2" name="DATA_AGENDAMENTO" dataDxfId="26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4" name="Tabela126" displayName="Tabela126" ref="A1:AA15" totalsRowShown="0">
  <autoFilter ref="A1:AA15"/>
  <tableColumns count="27">
    <tableColumn id="1" name="OS_ID"/>
    <tableColumn id="2" name="DATA_AGENDAMENTO" dataDxfId="25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5" name="Tabela127" displayName="Tabela127" ref="A1:AA9" totalsRowShown="0">
  <autoFilter ref="A1:AA9"/>
  <sortState ref="A2:AA9">
    <sortCondition descending="1" ref="B1:B119"/>
  </sortState>
  <tableColumns count="27">
    <tableColumn id="1" name="OS_ID"/>
    <tableColumn id="2" name="DATA_AGENDAMENTO" dataDxfId="24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6" name="Tabela128" displayName="Tabela128" ref="A1:AA6" totalsRowShown="0">
  <autoFilter ref="A1:AA6"/>
  <tableColumns count="27">
    <tableColumn id="1" name="OS_ID"/>
    <tableColumn id="2" name="DATA_AGENDAMENTO" dataDxfId="23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27" name="Tabela130" displayName="Tabela130" ref="A1:AA3" totalsRowShown="0">
  <autoFilter ref="A1:AA3"/>
  <sortState ref="A2:AA129">
    <sortCondition descending="1" ref="B1:B129"/>
  </sortState>
  <tableColumns count="27">
    <tableColumn id="1" name="OS_ID"/>
    <tableColumn id="2" name="DATA_AGENDAMENTO" dataDxfId="22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28" name="Tabela129" displayName="Tabela129" ref="A1:AA7" totalsRowShown="0">
  <autoFilter ref="A1:AA7"/>
  <tableColumns count="27">
    <tableColumn id="1" name="OS_ID"/>
    <tableColumn id="2" name="DATA_AGENDAMENTO" dataDxfId="21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29" name="Tabela131" displayName="Tabela131" ref="A1:AA5" totalsRowShown="0">
  <autoFilter ref="A1:AA5"/>
  <sortState ref="A2:AA5">
    <sortCondition descending="1" ref="B1:B129"/>
  </sortState>
  <tableColumns count="27">
    <tableColumn id="1" name="OS_ID"/>
    <tableColumn id="2" name="DATA_AGENDAMENTO" dataDxfId="20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30" name="Tabela132" displayName="Tabela132" ref="A1:AA7" totalsRowShown="0">
  <autoFilter ref="A1:AA7"/>
  <sortState ref="A2:AA526">
    <sortCondition descending="1" ref="B1:B526"/>
  </sortState>
  <tableColumns count="27">
    <tableColumn id="1" name="OS_ID"/>
    <tableColumn id="2" name="DATA_AGENDAMENTO" dataDxfId="19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31" name="Tabela136" displayName="Tabela136" ref="A1:AA4" totalsRowShown="0">
  <autoFilter ref="A1:AA4"/>
  <sortState ref="A2:AA149">
    <sortCondition descending="1" ref="B1:B149"/>
  </sortState>
  <tableColumns count="27">
    <tableColumn id="1" name="OS_ID"/>
    <tableColumn id="2" name="DATA_AGENDAMENTO" dataDxfId="18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32" name="Tabela134" displayName="Tabela134" ref="A1:AA15" totalsRowShown="0">
  <autoFilter ref="A1:AA15"/>
  <sortState ref="A2:AA15">
    <sortCondition descending="1" ref="B1:B526"/>
  </sortState>
  <tableColumns count="27">
    <tableColumn id="1" name="OS_ID"/>
    <tableColumn id="2" name="DATA_AGENDAMENTO" dataDxfId="17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33" name="Tabela137" displayName="Tabela137" ref="A1:AA6" totalsRowShown="0">
  <autoFilter ref="A1:AA6"/>
  <sortState ref="A2:AA6">
    <sortCondition descending="1" ref="B1:B149"/>
  </sortState>
  <tableColumns count="27">
    <tableColumn id="1" name="OS_ID"/>
    <tableColumn id="2" name="DATA_AGENDAMENTO" dataDxfId="16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34" name="Tabela135" displayName="Tabela135" ref="A1:AA9" totalsRowShown="0">
  <autoFilter ref="A1:AA9"/>
  <sortState ref="A2:AA9">
    <sortCondition descending="1" ref="B1:B526"/>
  </sortState>
  <tableColumns count="27">
    <tableColumn id="1" name="OS_ID"/>
    <tableColumn id="2" name="DATA_AGENDAMENTO" dataDxfId="15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35" name="Tabela138" displayName="Tabela138" ref="A1:AA7" totalsRowShown="0">
  <autoFilter ref="A1:AA7"/>
  <sortState ref="A2:AA7">
    <sortCondition descending="1" ref="B1:B149"/>
  </sortState>
  <tableColumns count="27">
    <tableColumn id="1" name="OS_ID"/>
    <tableColumn id="2" name="DATA_AGENDAMENTO" dataDxfId="14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36" name="Tabela133" displayName="Tabela133" ref="A1:AA8" totalsRowShown="0">
  <autoFilter ref="A1:AA8"/>
  <tableColumns count="27">
    <tableColumn id="1" name="OS_ID"/>
    <tableColumn id="2" name="DATA_AGENDAMENTO" dataDxfId="13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37" name="Tabela139" displayName="Tabela139" ref="A1:AA17" totalsRowShown="0">
  <autoFilter ref="A1:AA17"/>
  <tableColumns count="27">
    <tableColumn id="1" name="OS_ID"/>
    <tableColumn id="2" name="DATA_AGENDAMENTO" dataDxfId="12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38" name="Tabela140" displayName="Tabela140" ref="A1:AA8" totalsRowShown="0">
  <autoFilter ref="A1:AA8"/>
  <sortState ref="A2:AA8">
    <sortCondition descending="1" ref="B1:B168"/>
  </sortState>
  <tableColumns count="27">
    <tableColumn id="1" name="OS_ID"/>
    <tableColumn id="2" name="DATA_AGENDAMENTO" dataDxfId="11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39" name="Tabela141" displayName="Tabela141" ref="A1:AA12" totalsRowShown="0">
  <autoFilter ref="A1:AA12"/>
  <tableColumns count="27">
    <tableColumn id="1" name="OS_ID"/>
    <tableColumn id="2" name="DATA_AGENDAMENTO" dataDxfId="10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40" name="Tabela142" displayName="Tabela142" ref="A1:AA4" totalsRowShown="0">
  <autoFilter ref="A1:AA4"/>
  <sortState ref="A2:AA4">
    <sortCondition descending="1" ref="B1:B174"/>
  </sortState>
  <tableColumns count="27">
    <tableColumn id="1" name="OS_ID"/>
    <tableColumn id="2" name="DATA_AGENDAMENTO" dataDxfId="9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id="41" name="Tabela143" displayName="Tabela143" ref="A1:AA4" totalsRowShown="0">
  <autoFilter ref="A1:AA4"/>
  <sortState ref="A2:AA636">
    <sortCondition descending="1" ref="B1:B636"/>
  </sortState>
  <tableColumns count="27">
    <tableColumn id="1" name="OS_ID"/>
    <tableColumn id="2" name="DATA_AGENDAMENTO" dataDxfId="8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id="42" name="Tabela14344" displayName="Tabela14344" ref="A1:AA13" totalsRowShown="0">
  <autoFilter ref="A1:AA13"/>
  <sortState ref="A2:AA13">
    <sortCondition descending="1" ref="B1:B636"/>
  </sortState>
  <tableColumns count="27">
    <tableColumn id="1" name="OS_ID"/>
    <tableColumn id="2" name="DATA_AGENDAMENTO" dataDxfId="7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id="43" name="Tabela148" displayName="Tabela148" ref="A1:AA11" totalsRowShown="0">
  <autoFilter ref="A1:AA11"/>
  <sortState ref="A2:AA11">
    <sortCondition descending="1" ref="B1:B216"/>
  </sortState>
  <tableColumns count="27">
    <tableColumn id="1" name="OS_ID"/>
    <tableColumn id="2" name="DATA_AGENDAMENTO" dataDxfId="6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id="44" name="Tabela14345" displayName="Tabela14345" ref="A1:AA14" totalsRowShown="0">
  <autoFilter ref="A1:AA14"/>
  <sortState ref="A2:AA14">
    <sortCondition descending="1" ref="B1:B636"/>
  </sortState>
  <tableColumns count="27">
    <tableColumn id="1" name="OS_ID"/>
    <tableColumn id="2" name="DATA_AGENDAMENTO" dataDxfId="5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id="45" name="Tabela149" displayName="Tabela149" ref="A1:AA10" totalsRowShown="0">
  <autoFilter ref="A1:AA10"/>
  <sortState ref="A2:AA10">
    <sortCondition descending="1" ref="B1:B216"/>
  </sortState>
  <tableColumns count="27">
    <tableColumn id="1" name="OS_ID"/>
    <tableColumn id="2" name="DATA_AGENDAMENTO" dataDxfId="4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id="46" name="Tabela150" displayName="Tabela150" ref="A1:AA5" totalsRowShown="0">
  <autoFilter ref="A1:AA5"/>
  <tableColumns count="27">
    <tableColumn id="1" name="OS_ID"/>
    <tableColumn id="2" name="DATA_AGENDAMENTO" dataDxfId="3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id="47" name="Tabela151" displayName="Tabela151" ref="A1:AA2" totalsRowShown="0">
  <autoFilter ref="A1:AA2"/>
  <sortState ref="A2:AA219">
    <sortCondition descending="1" ref="B1:B219"/>
  </sortState>
  <tableColumns count="27">
    <tableColumn id="1" name="OS_ID"/>
    <tableColumn id="2" name="DATA_AGENDAMENTO" dataDxfId="2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id="48" name="Tabela152" displayName="Tabela152" ref="A1:AA12" totalsRowShown="0">
  <autoFilter ref="A1:AA12"/>
  <tableColumns count="27">
    <tableColumn id="1" name="OS_ID"/>
    <tableColumn id="2" name="DATA_AGENDAMENTO" dataDxfId="1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id="49" name="Tabela153" displayName="Tabela153" ref="A1:AA8" totalsRowShown="0">
  <autoFilter ref="A1:AA8"/>
  <sortState ref="A2:AA8">
    <sortCondition descending="1" ref="B1:B237"/>
  </sortState>
  <tableColumns count="27">
    <tableColumn id="1" name="OS_ID"/>
    <tableColumn id="2" name="DATA_AGENDAMENTO" dataDxfId="0"/>
    <tableColumn id="3" name="NM_REGIONAL"/>
    <tableColumn id="4" name="NM_GRUPO"/>
    <tableColumn id="5" name="NM_CLUSTER"/>
    <tableColumn id="6" name="NM_SUBCLUSTER"/>
    <tableColumn id="7" name="NM_CIDADE"/>
    <tableColumn id="8" name="COD_BAIXA"/>
    <tableColumn id="9" name="CONTRATO"/>
    <tableColumn id="10" name="CLASSE_OS"/>
    <tableColumn id="11" name="TIPO_OS"/>
    <tableColumn id="12" name="FLAG_CLASSE_OS"/>
    <tableColumn id="13" name="AREA_DESPACHO"/>
    <tableColumn id="14" name="FECHAMENTO"/>
    <tableColumn id="15" name="MOTIVO"/>
    <tableColumn id="16" name="PRODUTO_DE"/>
    <tableColumn id="17" name="PRODUTO_PARA"/>
    <tableColumn id="18" name="USR_BAIXA"/>
    <tableColumn id="19" name="CANAL_DE_VENDA_CONTRATO"/>
    <tableColumn id="20" name="VENDEDOR_CONTRATO"/>
    <tableColumn id="21" name="SEGMENTO"/>
    <tableColumn id="22" name="EMPRESA_DESPACHO"/>
    <tableColumn id="23" name="LOGIN_ABERTURA_OS"/>
    <tableColumn id="24" name="DATA_ATENDIMENTO"/>
    <tableColumn id="25" name="EMPRESA_EXECUCAO"/>
    <tableColumn id="26" name="NODE"/>
    <tableColumn id="27" name="PERF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7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8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9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0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1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2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4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5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6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7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8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>
    <tabColor rgb="FFFF0000"/>
  </sheetPr>
  <dimension ref="B1:AC45"/>
  <sheetViews>
    <sheetView showGridLines="0" tabSelected="1" workbookViewId="0">
      <selection activeCell="B7" sqref="B7:G36"/>
    </sheetView>
  </sheetViews>
  <sheetFormatPr defaultRowHeight="15"/>
  <cols>
    <col min="1" max="1" width="2.7109375" customWidth="1"/>
    <col min="2" max="2" width="10.5703125" customWidth="1"/>
    <col min="3" max="3" width="48.42578125" customWidth="1"/>
    <col min="4" max="4" width="12.28515625" customWidth="1"/>
    <col min="5" max="5" width="1.85546875" customWidth="1"/>
    <col min="6" max="6" width="11" customWidth="1"/>
    <col min="7" max="7" width="16.5703125" customWidth="1"/>
    <col min="9" max="9" width="11.42578125" customWidth="1"/>
    <col min="10" max="10" width="10.7109375" bestFit="1" customWidth="1"/>
    <col min="12" max="12" width="2.85546875" customWidth="1"/>
    <col min="14" max="14" width="10.7109375" bestFit="1" customWidth="1"/>
    <col min="16" max="16" width="2.42578125" customWidth="1"/>
    <col min="18" max="18" width="10.7109375" bestFit="1" customWidth="1"/>
    <col min="19" max="19" width="9" customWidth="1"/>
    <col min="20" max="20" width="2.85546875" customWidth="1"/>
    <col min="22" max="22" width="10.7109375" bestFit="1" customWidth="1"/>
    <col min="23" max="23" width="30.42578125" customWidth="1"/>
    <col min="24" max="24" width="23" customWidth="1"/>
  </cols>
  <sheetData>
    <row r="1" spans="2:29">
      <c r="Y1" t="s">
        <v>28</v>
      </c>
      <c r="AA1" s="47">
        <v>30</v>
      </c>
      <c r="AB1" s="47" t="s">
        <v>82</v>
      </c>
      <c r="AC1" s="47">
        <v>2013</v>
      </c>
    </row>
    <row r="2" spans="2:29">
      <c r="Y2" t="s">
        <v>29</v>
      </c>
    </row>
    <row r="3" spans="2:29">
      <c r="Y3" t="s">
        <v>30</v>
      </c>
    </row>
    <row r="4" spans="2:29">
      <c r="Y4" t="s">
        <v>31</v>
      </c>
    </row>
    <row r="5" spans="2:29">
      <c r="B5" t="s">
        <v>62</v>
      </c>
      <c r="C5" s="27">
        <f ca="1">NOW()</f>
        <v>41486.630788657407</v>
      </c>
      <c r="I5" s="64" t="s">
        <v>22</v>
      </c>
      <c r="J5" s="65"/>
      <c r="K5" s="66"/>
      <c r="M5" s="64" t="s">
        <v>24</v>
      </c>
      <c r="N5" s="65"/>
      <c r="O5" s="66"/>
      <c r="Q5" s="64" t="s">
        <v>27</v>
      </c>
      <c r="R5" s="65"/>
      <c r="S5" s="66"/>
      <c r="U5" s="60" t="s">
        <v>59</v>
      </c>
      <c r="V5" s="60"/>
      <c r="W5" s="60"/>
      <c r="Y5" t="s">
        <v>32</v>
      </c>
    </row>
    <row r="6" spans="2:29" ht="15.75" thickBot="1">
      <c r="C6" s="24"/>
      <c r="I6" s="5" t="s">
        <v>23</v>
      </c>
      <c r="J6" s="5" t="s">
        <v>26</v>
      </c>
      <c r="K6" s="5" t="s">
        <v>17</v>
      </c>
      <c r="L6" s="42"/>
      <c r="M6" s="5" t="s">
        <v>23</v>
      </c>
      <c r="N6" s="5" t="s">
        <v>25</v>
      </c>
      <c r="O6" s="5" t="s">
        <v>17</v>
      </c>
      <c r="P6" s="42"/>
      <c r="Q6" s="5" t="s">
        <v>23</v>
      </c>
      <c r="R6" s="5" t="s">
        <v>25</v>
      </c>
      <c r="S6" s="5" t="s">
        <v>17</v>
      </c>
      <c r="U6" s="2" t="s">
        <v>58</v>
      </c>
      <c r="V6" s="2" t="s">
        <v>25</v>
      </c>
      <c r="W6" s="2" t="s">
        <v>57</v>
      </c>
      <c r="Y6" t="s">
        <v>33</v>
      </c>
    </row>
    <row r="7" spans="2:29" ht="15.75" thickBot="1">
      <c r="B7" s="63" t="s">
        <v>14</v>
      </c>
      <c r="C7" s="63"/>
      <c r="D7" s="63"/>
      <c r="F7" s="67" t="s">
        <v>19</v>
      </c>
      <c r="G7" s="68"/>
      <c r="I7" s="2">
        <v>425</v>
      </c>
      <c r="J7" s="45">
        <v>41459</v>
      </c>
      <c r="K7" s="2">
        <f>COUNTIFS(swap30!$H:$H,"425",swap30!$N:$N,"EXECUTADA")</f>
        <v>1</v>
      </c>
      <c r="M7" s="2">
        <v>100</v>
      </c>
      <c r="N7" s="45">
        <v>41459</v>
      </c>
      <c r="O7" s="2">
        <f>COUNTIFS('lib30'!$O:$O,"100 AGENDAMENTO NAO CUMPRIDO",'lib30'!$N:$N,"REAGENDADA")</f>
        <v>0</v>
      </c>
      <c r="Q7" s="30">
        <v>302</v>
      </c>
      <c r="R7" s="45">
        <v>41459</v>
      </c>
      <c r="S7" s="33">
        <f>COUNTIFS('lib30'!$O:$O,"302-Desistência da Assinatura / Servico",'lib30'!$N:$N,"CANCELADA")</f>
        <v>0</v>
      </c>
      <c r="U7" s="37">
        <f>COUNTIFS(swap30!$P:$P,"SUPER MAXI BASICO BIG SD",swap30!$N:$N,"EXECUTADA")</f>
        <v>2</v>
      </c>
      <c r="V7" s="45">
        <v>41459</v>
      </c>
      <c r="W7" s="37" t="s">
        <v>52</v>
      </c>
      <c r="Y7" t="s">
        <v>34</v>
      </c>
    </row>
    <row r="8" spans="2:29">
      <c r="B8" s="43" t="s">
        <v>17</v>
      </c>
      <c r="C8" s="43">
        <f>SUM(B11:B36)</f>
        <v>7</v>
      </c>
      <c r="F8" s="5" t="s">
        <v>21</v>
      </c>
      <c r="G8" s="5">
        <f>SUM(F11:F14)</f>
        <v>11</v>
      </c>
      <c r="I8" s="2">
        <v>409</v>
      </c>
      <c r="J8" s="45">
        <v>41459</v>
      </c>
      <c r="K8" s="2">
        <f>COUNTIFS(swap30!$H:$H,"409",swap30!$N:$N,"EXECUTADA")</f>
        <v>3</v>
      </c>
      <c r="M8" s="2">
        <v>106</v>
      </c>
      <c r="N8" s="45">
        <v>41459</v>
      </c>
      <c r="O8" s="2">
        <f>COUNTIFS('lib30'!$O:$O,"106 CLIENTE AUSENTE",'lib30'!$N:$N,"REAGENDADA")</f>
        <v>2</v>
      </c>
      <c r="Q8" s="31">
        <v>312</v>
      </c>
      <c r="R8" s="45">
        <v>41459</v>
      </c>
      <c r="S8" s="34">
        <f>COUNTIFS('lib30'!$O:$O,"312-Cliente não solicitou serviço",'lib30'!$N:$N,"CANCELADA")</f>
        <v>0</v>
      </c>
      <c r="U8" s="37">
        <f>COUNTIFS(swap30!$P:$P,"SUPER MAXI BIG COLETIVO SD",swap30!$N:$N,"EXECUTADA")</f>
        <v>0</v>
      </c>
      <c r="V8" s="45">
        <v>41459</v>
      </c>
      <c r="W8" s="37" t="s">
        <v>54</v>
      </c>
      <c r="Y8" t="s">
        <v>35</v>
      </c>
    </row>
    <row r="9" spans="2:29">
      <c r="B9" s="3"/>
      <c r="C9" s="3"/>
      <c r="F9" s="2"/>
      <c r="G9" s="2"/>
      <c r="I9" s="2">
        <v>412</v>
      </c>
      <c r="J9" s="45">
        <v>41459</v>
      </c>
      <c r="K9" s="2">
        <f>COUNTIFS(swap30!$H:$H,"412",swap30!$N:$N,"EXECUTADA")</f>
        <v>0</v>
      </c>
      <c r="M9" s="2">
        <v>101</v>
      </c>
      <c r="N9" s="45">
        <v>41459</v>
      </c>
      <c r="O9" s="2">
        <f>COUNTIFS('lib30'!$O:$O,"101 ENDERECO NAO LOCALIZADO",'lib30'!$N:$N,"REAGENDADA")</f>
        <v>0</v>
      </c>
      <c r="Q9" s="31">
        <v>301</v>
      </c>
      <c r="R9" s="45">
        <v>41459</v>
      </c>
      <c r="S9" s="34">
        <f>COUNTIFS('lib30'!$O:$O,"301 TIPO DE OS INCORRETA",'lib30'!$N:$N,"CANCELADA")</f>
        <v>0</v>
      </c>
      <c r="U9" s="38">
        <f>COUNTIFS(swap30!$P:$P,"PREMIER BASICO BIG SD",swap30!$N:$N,"EXECUTADA")</f>
        <v>2</v>
      </c>
      <c r="V9" s="45">
        <v>41459</v>
      </c>
      <c r="W9" s="38" t="s">
        <v>53</v>
      </c>
      <c r="Y9" t="s">
        <v>36</v>
      </c>
    </row>
    <row r="10" spans="2:29">
      <c r="B10" s="5" t="s">
        <v>16</v>
      </c>
      <c r="C10" s="5" t="s">
        <v>15</v>
      </c>
      <c r="D10" s="5" t="s">
        <v>18</v>
      </c>
      <c r="F10" s="2" t="s">
        <v>16</v>
      </c>
      <c r="G10" s="2" t="s">
        <v>20</v>
      </c>
      <c r="I10" s="2">
        <v>429</v>
      </c>
      <c r="J10" s="45">
        <v>41459</v>
      </c>
      <c r="K10" s="2">
        <f>COUNTIFS(swap30!$H:$H,"429",swap30!$N:$N,"EXECUTADA")</f>
        <v>0</v>
      </c>
      <c r="M10" s="8">
        <v>27</v>
      </c>
      <c r="N10" s="45">
        <v>41459</v>
      </c>
      <c r="O10" s="2">
        <f>COUNTIFS('lib30'!$O:$O,"27-REAGENDAMENTO - SOLICITADO PELO ASSINANTE",'lib30'!$N:$N,"REAGENDADA")</f>
        <v>1</v>
      </c>
      <c r="Q10" s="32">
        <v>301</v>
      </c>
      <c r="R10" s="45">
        <v>41459</v>
      </c>
      <c r="S10" s="34">
        <f>COUNTIFS('lib30'!$O:$O,"301-Tipo de OS Incorreta",'lib30'!$N:$N,"CANCELADA")</f>
        <v>0</v>
      </c>
      <c r="U10" s="39">
        <f>COUNTIFS(swap30!$P:$P,"PREMIUM BASICO BIG DNC",swap30!$N:$N,"EXECUTADA")</f>
        <v>0</v>
      </c>
      <c r="V10" s="45">
        <v>41459</v>
      </c>
      <c r="W10" s="39" t="s">
        <v>55</v>
      </c>
      <c r="Y10" t="s">
        <v>37</v>
      </c>
    </row>
    <row r="11" spans="2:29" ht="15.75">
      <c r="B11" s="2">
        <f>COUNTIF('lib30'!$O:$O,"100 AGENDAMENTO NAO CUMPRIDO")</f>
        <v>0</v>
      </c>
      <c r="C11" s="2" t="s">
        <v>0</v>
      </c>
      <c r="D11" s="4">
        <f>(100*B11)/$C$8</f>
        <v>0</v>
      </c>
      <c r="F11" s="11">
        <f>COUNTIF(swap30!$N$2:$N$174,"EXECUTADA")</f>
        <v>4</v>
      </c>
      <c r="G11" s="29" t="s">
        <v>67</v>
      </c>
      <c r="I11" s="2">
        <v>460</v>
      </c>
      <c r="J11" s="45">
        <v>41459</v>
      </c>
      <c r="K11" s="2">
        <f>COUNTIFS(swap30!$H:$H,"460",swap30!$N:$N,"EXECUTADA")</f>
        <v>0</v>
      </c>
      <c r="M11" s="8">
        <v>447</v>
      </c>
      <c r="N11" s="45">
        <v>41459</v>
      </c>
      <c r="O11" s="2">
        <f>COUNTIFS('lib30'!$O:$O,"447 NECESSARIO REFAZER CABEAMENTO",'lib30'!$N:$N,"REAGENDADA")</f>
        <v>0</v>
      </c>
      <c r="Q11" s="46" t="s">
        <v>73</v>
      </c>
      <c r="R11" s="45">
        <v>41459</v>
      </c>
      <c r="S11" s="2">
        <f>COUNTIFS('lib30'!$O:$O,"Cancelado automaticamente pelo sistema",'lib30'!$N:$N,"CANCELADA")</f>
        <v>0</v>
      </c>
      <c r="U11" s="19">
        <f>COUNTIFS(swap30!$P:$P,"PREMIER BIG COLETIVO SD",swap30!$N:$N,"EXECUTADA")</f>
        <v>0</v>
      </c>
      <c r="V11" s="45">
        <v>41459</v>
      </c>
      <c r="W11" s="19" t="s">
        <v>65</v>
      </c>
      <c r="Y11" t="s">
        <v>38</v>
      </c>
    </row>
    <row r="12" spans="2:29">
      <c r="B12" s="2">
        <f>COUNTIF('lib30'!$O:$O,"101 ENDERECO NAO LOCALIZADO")</f>
        <v>0</v>
      </c>
      <c r="C12" s="2" t="s">
        <v>1</v>
      </c>
      <c r="D12" s="4">
        <f t="shared" ref="D12:D36" si="0">(100*B12)/$C$8</f>
        <v>0</v>
      </c>
      <c r="F12" s="2">
        <f>COUNTIF('lib30'!$N$2:$N$174,"CANCELADA")</f>
        <v>0</v>
      </c>
      <c r="G12" s="2" t="s">
        <v>68</v>
      </c>
      <c r="I12" s="8">
        <v>461</v>
      </c>
      <c r="J12" s="45">
        <v>41459</v>
      </c>
      <c r="K12" s="2">
        <f>COUNTIFS(swap30!$H:$H,"461",swap30!$N:$N,"EXECUTADA")</f>
        <v>0</v>
      </c>
      <c r="M12" s="8">
        <v>104</v>
      </c>
      <c r="N12" s="45">
        <v>41459</v>
      </c>
      <c r="O12" s="2">
        <f>COUNTIFS('lib30'!$O:$O,"104 FALTA DE MATERIAL",'lib30'!$N:$N,"REAGENDADA")</f>
        <v>0</v>
      </c>
      <c r="Q12" s="8">
        <v>603</v>
      </c>
      <c r="R12" s="45">
        <v>41459</v>
      </c>
      <c r="S12" s="2">
        <f>COUNTIFS('lib30'!$O:$O,"603-Cancelado por Ativo / Rede Ext. com Problema",'lib30'!$N:$N,"CANCELADA")</f>
        <v>0</v>
      </c>
      <c r="U12" s="39">
        <f>COUNTIFS(swap30!$P:$P,"PREMIUM BIG COLETIVO DNC",swap30!$N:$N,"EXECUTADA")</f>
        <v>0</v>
      </c>
      <c r="V12" s="45">
        <v>41459</v>
      </c>
      <c r="W12" s="39" t="s">
        <v>72</v>
      </c>
      <c r="Y12" t="s">
        <v>39</v>
      </c>
    </row>
    <row r="13" spans="2:29">
      <c r="B13" s="2">
        <f>COUNTIF('lib30'!$O:$O,"105 SEM ENERGIA ELETRICA NA REGIAO / PREDIO")</f>
        <v>0</v>
      </c>
      <c r="C13" s="2" t="s">
        <v>2</v>
      </c>
      <c r="D13" s="4">
        <f t="shared" si="0"/>
        <v>0</v>
      </c>
      <c r="F13" s="2">
        <f>COUNTIF(swap30!$N$2:$N$174,"NAO EXECUTADA")</f>
        <v>0</v>
      </c>
      <c r="G13" s="2" t="s">
        <v>69</v>
      </c>
      <c r="I13" s="8">
        <v>424</v>
      </c>
      <c r="J13" s="45">
        <v>41459</v>
      </c>
      <c r="K13" s="2">
        <f>COUNTIFS(swap30!$H:$H,"424",swap30!$N:$N,"EXECUTADA")</f>
        <v>0</v>
      </c>
      <c r="M13" s="8">
        <v>302</v>
      </c>
      <c r="N13" s="45">
        <v>41459</v>
      </c>
      <c r="O13" s="2">
        <f>COUNTIFS('lib30'!$O:$O,"302-Desistência da Assinatura / Servico",'lib30'!$N:$N,"REAGENDADA")</f>
        <v>0</v>
      </c>
      <c r="Q13" s="48">
        <v>308</v>
      </c>
      <c r="R13" s="45">
        <v>41459</v>
      </c>
      <c r="S13" s="48">
        <f>COUNTIFS('lib30'!$O:$O,"308-Instalacao Nao Contemplara Padrao",'lib30'!$N:$N,"CANCELADA")</f>
        <v>0</v>
      </c>
    </row>
    <row r="14" spans="2:29">
      <c r="B14" s="2">
        <f>COUNTIF('lib30'!$O:$O,"106 CLIENTE AUSENTE")</f>
        <v>2</v>
      </c>
      <c r="C14" s="2" t="s">
        <v>3</v>
      </c>
      <c r="D14" s="4">
        <f t="shared" si="0"/>
        <v>28.571428571428573</v>
      </c>
      <c r="F14" s="2">
        <f>COUNTIF('lib30'!$N$2:$N$174,"REAGENDADA")</f>
        <v>7</v>
      </c>
      <c r="G14" s="2" t="s">
        <v>70</v>
      </c>
      <c r="I14" s="8">
        <v>463</v>
      </c>
      <c r="J14" s="45">
        <v>41459</v>
      </c>
      <c r="K14" s="2">
        <f>COUNTIFS(swap30!$H:$H,"463",swap30!$N:$N,"EXECUTADA")</f>
        <v>0</v>
      </c>
      <c r="M14" s="8">
        <v>107</v>
      </c>
      <c r="N14" s="45">
        <v>41459</v>
      </c>
      <c r="O14" s="2">
        <f>COUNTIFS('lib30'!$O:$O,"107 ENTRADA NAO AUTORIZADA",'lib30'!$N:$N,"REAGENDADA")</f>
        <v>0</v>
      </c>
      <c r="Q14" s="48" t="s">
        <v>79</v>
      </c>
      <c r="R14" s="45">
        <v>41459</v>
      </c>
      <c r="S14" s="48">
        <f>COUNTIFS('lib30'!$O:$O,"NAO ENCONTRADO",'lib30'!$N:$N,"CANCELADA")</f>
        <v>0</v>
      </c>
    </row>
    <row r="15" spans="2:29">
      <c r="B15" s="2">
        <f>COUNTIF('lib30'!$O:$O,"107 ENTRADA NAO AUTORIZADA")</f>
        <v>0</v>
      </c>
      <c r="C15" s="2" t="s">
        <v>4</v>
      </c>
      <c r="D15" s="4">
        <f t="shared" si="0"/>
        <v>0</v>
      </c>
      <c r="I15" s="3"/>
      <c r="J15" s="7"/>
      <c r="K15" s="3"/>
      <c r="M15" s="8">
        <v>301</v>
      </c>
      <c r="N15" s="45">
        <v>41459</v>
      </c>
      <c r="O15" s="2">
        <f>COUNTIFS('lib30'!$O:$O,"301 TIPO DE OS INCORRETA",'lib30'!$N:$N,"REAGENDADA")</f>
        <v>2</v>
      </c>
      <c r="Q15" s="62" t="s">
        <v>74</v>
      </c>
      <c r="R15" s="62"/>
      <c r="S15" s="62"/>
    </row>
    <row r="16" spans="2:29">
      <c r="B16" s="2">
        <f>COUNTIF('lib30'!$O:$O,"110 PROBLEMA NA TUBULACAO")</f>
        <v>0</v>
      </c>
      <c r="C16" s="2" t="s">
        <v>5</v>
      </c>
      <c r="D16" s="4">
        <f t="shared" si="0"/>
        <v>0</v>
      </c>
      <c r="M16" s="8">
        <v>70</v>
      </c>
      <c r="N16" s="45">
        <v>41459</v>
      </c>
      <c r="O16" s="2">
        <f>COUNTIFS('lib30'!$O:$O,"70-DESITENCIA DO SERVICO",'lib30'!$N:$N,"REAGENDADA")</f>
        <v>0</v>
      </c>
      <c r="Q16" s="69" t="s">
        <v>80</v>
      </c>
      <c r="R16" s="69"/>
      <c r="S16" s="69"/>
    </row>
    <row r="17" spans="2:15">
      <c r="B17" s="2">
        <f>COUNTIF('lib30'!$O:$O,"27-REAGENDAMENTO - SOLICITADO PELO ASSINANTE")</f>
        <v>1</v>
      </c>
      <c r="C17" s="2" t="s">
        <v>6</v>
      </c>
      <c r="D17" s="4">
        <f t="shared" si="0"/>
        <v>14.285714285714286</v>
      </c>
      <c r="F17" s="59"/>
      <c r="G17" s="59"/>
      <c r="I17" s="59"/>
      <c r="J17" s="59"/>
      <c r="M17" s="8">
        <v>312</v>
      </c>
      <c r="N17" s="45">
        <v>41459</v>
      </c>
      <c r="O17" s="28">
        <f>COUNTIFS('lib30'!$O:$O,"312 CLIENTE NAO SOLICITOU O SERVICO",'lib30'!$N:$N,"REAGENDADA")</f>
        <v>2</v>
      </c>
    </row>
    <row r="18" spans="2:15">
      <c r="B18" s="2">
        <f>COUNTIF('lib30'!$O:$O,"301 TIPO DE OS INCORRETA")</f>
        <v>2</v>
      </c>
      <c r="C18" s="2" t="s">
        <v>7</v>
      </c>
      <c r="D18" s="4">
        <f t="shared" si="0"/>
        <v>28.571428571428573</v>
      </c>
      <c r="F18" s="9"/>
      <c r="G18" s="9"/>
      <c r="I18" s="59"/>
      <c r="J18" s="59"/>
      <c r="M18" s="8">
        <v>110</v>
      </c>
      <c r="N18" s="45">
        <v>41459</v>
      </c>
      <c r="O18" s="21">
        <f>COUNTIFS('lib30'!$O:$O,"110 PROBLEMA NA TUBULACAO",'lib30'!$N:$N,"REAGENDADA")</f>
        <v>0</v>
      </c>
    </row>
    <row r="19" spans="2:15">
      <c r="B19" s="2">
        <f>COUNTIF('lib30'!$O:$O,"302-Desistência da Assinatura / Servico")</f>
        <v>0</v>
      </c>
      <c r="C19" s="2" t="s">
        <v>8</v>
      </c>
      <c r="D19" s="4">
        <f t="shared" si="0"/>
        <v>0</v>
      </c>
      <c r="F19" s="9"/>
      <c r="G19" s="9"/>
      <c r="I19" s="9"/>
      <c r="J19" s="9"/>
      <c r="M19" s="23">
        <v>113</v>
      </c>
      <c r="N19" s="45">
        <v>41459</v>
      </c>
      <c r="O19" s="2">
        <f>COUNTIFS('lib30'!$O:$O,"113 SEM TV / COMPUTADOR NA RESIDENCIA",'lib30'!$N:$N,"REAGENDADA")</f>
        <v>0</v>
      </c>
    </row>
    <row r="20" spans="2:15">
      <c r="B20" s="2">
        <f>COUNTIF('lib30'!$O:$O,"303 FORMA DE INSTALACAO NAO ACEITA PELO CLIENTE")</f>
        <v>0</v>
      </c>
      <c r="C20" s="2" t="s">
        <v>9</v>
      </c>
      <c r="D20" s="4">
        <f t="shared" si="0"/>
        <v>0</v>
      </c>
      <c r="F20" s="40"/>
      <c r="G20" s="9"/>
      <c r="I20" s="59"/>
      <c r="J20" s="59"/>
      <c r="M20" s="23">
        <v>103</v>
      </c>
      <c r="N20" s="45">
        <v>41459</v>
      </c>
      <c r="O20" s="21">
        <f>COUNTIFS('lib30'!$O:$O,"103 CHUVA",'lib30'!$N:$N,"REAGENDADA")</f>
        <v>0</v>
      </c>
    </row>
    <row r="21" spans="2:15">
      <c r="B21" s="2">
        <f>COUNTIF('lib30'!$O:$O,"312 CLIENTE NAO SOLICITOU O SERVICO")</f>
        <v>2</v>
      </c>
      <c r="C21" s="2" t="s">
        <v>10</v>
      </c>
      <c r="D21" s="4">
        <f t="shared" si="0"/>
        <v>28.571428571428573</v>
      </c>
      <c r="F21" s="40"/>
      <c r="G21" s="41"/>
      <c r="I21" s="9"/>
      <c r="J21" s="9"/>
      <c r="M21" s="23">
        <v>105</v>
      </c>
      <c r="N21" s="45">
        <v>41459</v>
      </c>
      <c r="O21" s="2">
        <f>COUNTIFS('lib30'!$O:$O,"105 SEM ENERGIA ELETRICA NA REGIAO / PREDIO",'lib30'!$N:$N,"REAGENDADA")</f>
        <v>0</v>
      </c>
    </row>
    <row r="22" spans="2:15">
      <c r="B22" s="2">
        <f>COUNTIF('lib30'!$O:$O,"312-Cliente não solicitou serviço")</f>
        <v>0</v>
      </c>
      <c r="C22" s="2" t="s">
        <v>11</v>
      </c>
      <c r="D22" s="4">
        <f t="shared" si="0"/>
        <v>0</v>
      </c>
      <c r="G22" s="6"/>
      <c r="I22" s="9"/>
      <c r="J22" s="9"/>
      <c r="M22" s="23">
        <v>307</v>
      </c>
      <c r="N22" s="45">
        <v>41459</v>
      </c>
      <c r="O22" s="2">
        <f>COUNTIFS('lib30'!$O:$O,"307 RESIDENCIA EM CONSTRUCAO / REFORMA",'lib30'!$N:$N,"REAGENDADA")</f>
        <v>0</v>
      </c>
    </row>
    <row r="23" spans="2:15">
      <c r="B23" s="2">
        <f>COUNTIF('lib30'!$O:$O,"447 NECESSARIO REFAZER CABEAMENTO")</f>
        <v>0</v>
      </c>
      <c r="C23" s="2" t="s">
        <v>12</v>
      </c>
      <c r="D23" s="4">
        <f t="shared" si="0"/>
        <v>0</v>
      </c>
      <c r="I23" s="59"/>
      <c r="J23" s="59"/>
      <c r="M23" s="23">
        <v>997</v>
      </c>
      <c r="N23" s="45">
        <v>41459</v>
      </c>
      <c r="O23" s="21">
        <f>COUNTIFS('lib30'!$O:$O,"997 - Cliente nao aceita aguardar",'lib30'!$N:$N,"REAGENDADA")</f>
        <v>0</v>
      </c>
    </row>
    <row r="24" spans="2:15">
      <c r="B24" s="2">
        <f>COUNTIF('lib30'!$O:$O,"70-DESITENCIA DO SERVICO")</f>
        <v>0</v>
      </c>
      <c r="C24" s="2" t="s">
        <v>13</v>
      </c>
      <c r="D24" s="4">
        <f t="shared" si="0"/>
        <v>0</v>
      </c>
      <c r="I24" s="9"/>
      <c r="J24" s="9"/>
      <c r="M24" s="23">
        <v>203</v>
      </c>
      <c r="N24" s="45">
        <v>41459</v>
      </c>
      <c r="O24" s="21">
        <f>COUNTIFS('lib30'!$O:$O,"203 REDE EXTERNA COM PROBLEMA",'lib30'!$N:$N,"REAGENDADA")</f>
        <v>0</v>
      </c>
    </row>
    <row r="25" spans="2:15">
      <c r="B25" s="2">
        <f>COUNTIF('lib30'!$O:$O,"104 FALTA DE MATERIAL")</f>
        <v>0</v>
      </c>
      <c r="C25" s="8" t="s">
        <v>56</v>
      </c>
      <c r="D25" s="4">
        <f t="shared" si="0"/>
        <v>0</v>
      </c>
      <c r="I25" s="9"/>
      <c r="J25" s="9"/>
      <c r="M25" s="23">
        <v>112</v>
      </c>
      <c r="N25" s="45">
        <v>41459</v>
      </c>
      <c r="O25" s="2">
        <f>COUNTIFS('lib30'!$O:$O,"112 SEM ACESSO AO DG / SOTAO",'lib30'!$N:$N,"REAGENDADA")</f>
        <v>0</v>
      </c>
    </row>
    <row r="26" spans="2:15">
      <c r="B26" s="21">
        <f>COUNTIF('lib30'!$O:$O,"113 SEM TV / COMPUTADOR NA RESIDENCIA")</f>
        <v>0</v>
      </c>
      <c r="C26" s="22" t="s">
        <v>61</v>
      </c>
      <c r="D26" s="4">
        <f t="shared" si="0"/>
        <v>0</v>
      </c>
      <c r="I26" s="15"/>
      <c r="J26" s="15"/>
      <c r="M26" s="23">
        <v>999</v>
      </c>
      <c r="N26" s="45">
        <v>41473</v>
      </c>
      <c r="O26" s="2">
        <f>COUNTIFS('lib30'!$O:$O,"999 CONTINGENCIA",'lib30'!$N:$N,"REAGENDADA")</f>
        <v>0</v>
      </c>
    </row>
    <row r="27" spans="2:15">
      <c r="B27" s="21">
        <f>COUNTIF('lib30'!$O:$O,"103 CHUVA")</f>
        <v>0</v>
      </c>
      <c r="C27" s="22" t="s">
        <v>63</v>
      </c>
      <c r="D27" s="4">
        <f t="shared" si="0"/>
        <v>0</v>
      </c>
      <c r="I27" s="9"/>
      <c r="J27" s="9"/>
      <c r="M27" s="20"/>
      <c r="N27" s="9"/>
      <c r="O27" s="3"/>
    </row>
    <row r="28" spans="2:15">
      <c r="B28" s="21">
        <f>COUNTIF('lib30'!$O:$O,"301-Tipo de OS Incorreta")</f>
        <v>0</v>
      </c>
      <c r="C28" s="22" t="s">
        <v>64</v>
      </c>
      <c r="D28" s="4">
        <f t="shared" si="0"/>
        <v>0</v>
      </c>
      <c r="I28" s="9"/>
      <c r="J28" s="9"/>
      <c r="M28" s="20"/>
      <c r="N28" s="7"/>
      <c r="O28" s="3"/>
    </row>
    <row r="29" spans="2:15">
      <c r="B29" s="21">
        <f>COUNTIF('lib30'!$O:$O,"307 RESIDENCIA EM CONSTRUCAO / REFORMA")</f>
        <v>0</v>
      </c>
      <c r="C29" s="22" t="s">
        <v>66</v>
      </c>
      <c r="D29" s="4">
        <f t="shared" si="0"/>
        <v>0</v>
      </c>
      <c r="I29" s="9"/>
      <c r="J29" s="9"/>
      <c r="M29" s="20"/>
      <c r="N29" s="7"/>
      <c r="O29" s="3"/>
    </row>
    <row r="30" spans="2:15">
      <c r="B30" s="21">
        <f>COUNTIF('lib30'!$O:$O,"Cancelado automaticamente pelo sistema")</f>
        <v>0</v>
      </c>
      <c r="C30" s="22" t="s">
        <v>71</v>
      </c>
      <c r="D30" s="4">
        <f t="shared" si="0"/>
        <v>0</v>
      </c>
      <c r="I30" s="9"/>
      <c r="J30" s="9"/>
      <c r="M30" s="3"/>
      <c r="N30" s="7"/>
      <c r="O30" s="3"/>
    </row>
    <row r="31" spans="2:15">
      <c r="B31" s="21">
        <f>COUNTIF('lib30'!$O:$O,"997 - Cliente nao aceita aguardar")</f>
        <v>0</v>
      </c>
      <c r="C31" s="22" t="s">
        <v>75</v>
      </c>
      <c r="D31" s="4">
        <f t="shared" si="0"/>
        <v>0</v>
      </c>
      <c r="I31" s="9"/>
      <c r="J31" s="9"/>
      <c r="M31" s="3"/>
      <c r="N31" s="7"/>
      <c r="O31" s="3"/>
    </row>
    <row r="32" spans="2:15">
      <c r="B32" s="21">
        <f>COUNTIF('lib30'!$O:$O,"603-Cancelado por Ativo / Rede Ext. com Problema")</f>
        <v>0</v>
      </c>
      <c r="C32" s="22" t="s">
        <v>76</v>
      </c>
      <c r="D32" s="4">
        <f t="shared" si="0"/>
        <v>0</v>
      </c>
      <c r="I32" s="9"/>
      <c r="J32" s="9"/>
      <c r="M32" s="3"/>
      <c r="N32" s="7"/>
      <c r="O32" s="3"/>
    </row>
    <row r="33" spans="2:15">
      <c r="B33" s="2">
        <f>COUNTIF('lib30'!$O:$O,"203 REDE EXTERNA COM PROBLEMA")</f>
        <v>0</v>
      </c>
      <c r="C33" s="22" t="s">
        <v>77</v>
      </c>
      <c r="D33" s="4">
        <f t="shared" si="0"/>
        <v>0</v>
      </c>
      <c r="I33" s="9"/>
      <c r="J33" s="9"/>
      <c r="M33" s="3"/>
      <c r="N33" s="7"/>
      <c r="O33" s="3"/>
    </row>
    <row r="34" spans="2:15">
      <c r="B34" s="2">
        <f>COUNTIF('lib30'!$O:$O,"NAO ENCONTRADO")</f>
        <v>0</v>
      </c>
      <c r="C34" s="22" t="s">
        <v>78</v>
      </c>
      <c r="D34" s="4">
        <f t="shared" si="0"/>
        <v>0</v>
      </c>
      <c r="I34" s="61"/>
      <c r="J34" s="61"/>
      <c r="N34" s="1"/>
    </row>
    <row r="35" spans="2:15">
      <c r="B35" s="2">
        <f>COUNTIF('lib30'!$O:$O,"112 SEM ACESSO AO DG / SOTAO")</f>
        <v>0</v>
      </c>
      <c r="C35" s="2" t="s">
        <v>81</v>
      </c>
      <c r="D35" s="4">
        <f t="shared" si="0"/>
        <v>0</v>
      </c>
      <c r="I35" s="58"/>
      <c r="J35" s="58"/>
      <c r="N35" s="1"/>
    </row>
    <row r="36" spans="2:15">
      <c r="B36" s="2">
        <f>COUNTIF('lib30'!$O:$O,"999 CONTINGENCIA")</f>
        <v>0</v>
      </c>
      <c r="C36" s="8" t="s">
        <v>1108</v>
      </c>
      <c r="D36" s="4">
        <f t="shared" si="0"/>
        <v>0</v>
      </c>
      <c r="I36" s="16"/>
      <c r="J36" s="17"/>
      <c r="N36" s="1"/>
    </row>
    <row r="37" spans="2:15">
      <c r="I37" s="9"/>
      <c r="J37" s="9"/>
      <c r="N37" s="1"/>
    </row>
    <row r="38" spans="2:15">
      <c r="I38" s="58"/>
      <c r="J38" s="58"/>
      <c r="N38" s="1"/>
    </row>
    <row r="39" spans="2:15">
      <c r="I39" s="9"/>
      <c r="J39" s="9"/>
      <c r="N39" s="1"/>
    </row>
    <row r="40" spans="2:15">
      <c r="I40" s="9"/>
      <c r="J40" s="9"/>
      <c r="N40" s="1"/>
    </row>
    <row r="41" spans="2:15">
      <c r="I41" s="18"/>
      <c r="J41" s="18"/>
    </row>
    <row r="42" spans="2:15">
      <c r="I42" s="58"/>
      <c r="J42" s="58"/>
    </row>
    <row r="43" spans="2:15">
      <c r="I43" s="9"/>
      <c r="J43" s="9"/>
    </row>
    <row r="44" spans="2:15">
      <c r="I44" s="9"/>
      <c r="J44" s="9"/>
    </row>
    <row r="45" spans="2:15">
      <c r="I45" s="9"/>
      <c r="J45" s="9"/>
    </row>
  </sheetData>
  <mergeCells count="17">
    <mergeCell ref="F17:G17"/>
    <mergeCell ref="B7:D7"/>
    <mergeCell ref="Q5:S5"/>
    <mergeCell ref="M5:O5"/>
    <mergeCell ref="I5:K5"/>
    <mergeCell ref="F7:G7"/>
    <mergeCell ref="I17:J17"/>
    <mergeCell ref="Q16:S16"/>
    <mergeCell ref="I42:J42"/>
    <mergeCell ref="I18:J18"/>
    <mergeCell ref="I20:J20"/>
    <mergeCell ref="I23:J23"/>
    <mergeCell ref="U5:W5"/>
    <mergeCell ref="I34:J34"/>
    <mergeCell ref="I35:J35"/>
    <mergeCell ref="I38:J38"/>
    <mergeCell ref="Q15:S1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>
    <tabColor rgb="FF00B0F0"/>
  </sheetPr>
  <dimension ref="A1:DN11"/>
  <sheetViews>
    <sheetView workbookViewId="0">
      <pane xSplit="4" ySplit="2" topLeftCell="BT3" activePane="bottomRight" state="frozen"/>
      <selection pane="topRight" activeCell="E1" sqref="E1"/>
      <selection pane="bottomLeft" activeCell="A3" sqref="A3"/>
      <selection pane="bottomRight" activeCell="CT1" sqref="BT1:CT1048576"/>
    </sheetView>
  </sheetViews>
  <sheetFormatPr defaultRowHeight="15"/>
  <cols>
    <col min="1" max="1" width="10.85546875" customWidth="1"/>
    <col min="3" max="3" width="12.85546875" hidden="1" customWidth="1"/>
    <col min="4" max="4" width="10.5703125" hidden="1" customWidth="1"/>
    <col min="5" max="6" width="10.7109375" hidden="1" customWidth="1"/>
    <col min="7" max="7" width="11" hidden="1" customWidth="1"/>
    <col min="8" max="8" width="10.7109375" hidden="1" customWidth="1"/>
    <col min="9" max="9" width="11.5703125" hidden="1" customWidth="1"/>
    <col min="10" max="13" width="10.7109375" hidden="1" customWidth="1"/>
    <col min="14" max="14" width="11.5703125" hidden="1" customWidth="1"/>
    <col min="15" max="15" width="10.5703125" hidden="1" customWidth="1"/>
    <col min="16" max="16" width="11.42578125" hidden="1" customWidth="1"/>
    <col min="17" max="18" width="10.85546875" hidden="1" customWidth="1"/>
    <col min="19" max="19" width="10.42578125" hidden="1" customWidth="1"/>
    <col min="20" max="20" width="9.85546875" hidden="1" customWidth="1"/>
    <col min="21" max="21" width="9.7109375" hidden="1" customWidth="1"/>
    <col min="22" max="28" width="9.140625" hidden="1" customWidth="1"/>
    <col min="29" max="30" width="10" hidden="1" customWidth="1"/>
    <col min="31" max="31" width="10.42578125" hidden="1" customWidth="1"/>
    <col min="32" max="32" width="9.5703125" hidden="1" customWidth="1"/>
    <col min="33" max="33" width="9.7109375" hidden="1" customWidth="1"/>
    <col min="34" max="34" width="9.85546875" hidden="1" customWidth="1"/>
    <col min="35" max="36" width="9.5703125" hidden="1" customWidth="1"/>
    <col min="37" max="37" width="9.85546875" hidden="1" customWidth="1"/>
    <col min="38" max="38" width="10" hidden="1" customWidth="1"/>
    <col min="39" max="39" width="10.85546875" hidden="1" customWidth="1"/>
    <col min="40" max="40" width="9.7109375" hidden="1" customWidth="1"/>
    <col min="41" max="41" width="9.85546875" hidden="1" customWidth="1"/>
    <col min="42" max="42" width="9.42578125" hidden="1" customWidth="1"/>
    <col min="43" max="43" width="9.85546875" hidden="1" customWidth="1"/>
    <col min="44" max="44" width="10.140625" hidden="1" customWidth="1"/>
    <col min="45" max="47" width="10.42578125" hidden="1" customWidth="1"/>
    <col min="48" max="48" width="11.140625" hidden="1" customWidth="1"/>
    <col min="49" max="55" width="0" hidden="1" customWidth="1"/>
    <col min="56" max="56" width="9.7109375" hidden="1" customWidth="1"/>
    <col min="57" max="57" width="10.140625" hidden="1" customWidth="1"/>
    <col min="58" max="58" width="9.85546875" hidden="1" customWidth="1"/>
    <col min="59" max="59" width="11" hidden="1" customWidth="1"/>
    <col min="60" max="60" width="10.140625" hidden="1" customWidth="1"/>
    <col min="61" max="61" width="9.85546875" hidden="1" customWidth="1"/>
    <col min="62" max="63" width="9.7109375" hidden="1" customWidth="1"/>
    <col min="64" max="64" width="10.140625" hidden="1" customWidth="1"/>
    <col min="65" max="65" width="9.7109375" hidden="1" customWidth="1"/>
    <col min="66" max="68" width="9.85546875" hidden="1" customWidth="1"/>
    <col min="69" max="69" width="10.7109375" hidden="1" customWidth="1"/>
    <col min="70" max="70" width="10.140625" hidden="1" customWidth="1"/>
    <col min="71" max="71" width="9.7109375" hidden="1" customWidth="1"/>
    <col min="72" max="72" width="9.7109375" customWidth="1"/>
    <col min="73" max="73" width="9.85546875" customWidth="1"/>
    <col min="75" max="81" width="0" hidden="1" customWidth="1"/>
    <col min="82" max="82" width="9.7109375" hidden="1" customWidth="1"/>
    <col min="83" max="83" width="10.28515625" hidden="1" customWidth="1"/>
    <col min="84" max="84" width="10" hidden="1" customWidth="1"/>
    <col min="85" max="86" width="9.7109375" hidden="1" customWidth="1"/>
    <col min="87" max="87" width="9.85546875" hidden="1" customWidth="1"/>
    <col min="88" max="88" width="10.7109375" hidden="1" customWidth="1"/>
    <col min="89" max="89" width="9.7109375" hidden="1" customWidth="1"/>
    <col min="90" max="90" width="9.85546875" hidden="1" customWidth="1"/>
    <col min="91" max="91" width="10" hidden="1" customWidth="1"/>
    <col min="92" max="92" width="9.7109375" hidden="1" customWidth="1"/>
    <col min="93" max="93" width="11" hidden="1" customWidth="1"/>
    <col min="94" max="94" width="10.140625" hidden="1" customWidth="1"/>
    <col min="95" max="96" width="10" customWidth="1"/>
    <col min="97" max="99" width="9.7109375" bestFit="1" customWidth="1"/>
  </cols>
  <sheetData>
    <row r="1" spans="1:118">
      <c r="E1" s="12"/>
      <c r="F1" s="12"/>
      <c r="G1" s="12"/>
      <c r="H1" s="12" t="s">
        <v>50</v>
      </c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35"/>
      <c r="W1" s="35"/>
      <c r="X1" s="35"/>
      <c r="Y1" s="36" t="s">
        <v>32</v>
      </c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49"/>
      <c r="AX1" s="50" t="s">
        <v>33</v>
      </c>
      <c r="AY1" s="49"/>
      <c r="AZ1" s="49"/>
      <c r="BA1" s="49"/>
      <c r="BB1" s="49"/>
      <c r="BC1" s="49"/>
      <c r="BD1" s="49"/>
      <c r="BE1" s="49"/>
      <c r="BF1" s="49"/>
      <c r="BG1" s="49"/>
      <c r="BH1" s="49"/>
      <c r="BI1" s="49"/>
      <c r="BJ1" s="49"/>
      <c r="BK1" s="49"/>
      <c r="BL1" s="49"/>
      <c r="BM1" s="49"/>
      <c r="BN1" s="49"/>
      <c r="BO1" s="49"/>
      <c r="BP1" s="49"/>
      <c r="BQ1" s="49"/>
      <c r="BR1" s="49"/>
      <c r="BS1" s="49"/>
      <c r="BT1" s="49"/>
      <c r="BU1" s="49"/>
      <c r="BV1" s="53"/>
      <c r="BW1" s="53"/>
      <c r="BX1" s="53"/>
      <c r="BY1" s="53"/>
      <c r="BZ1" s="54" t="s">
        <v>34</v>
      </c>
      <c r="CA1" s="53"/>
      <c r="CB1" s="53"/>
      <c r="CC1" s="53"/>
      <c r="CD1" s="53"/>
      <c r="CE1" s="53"/>
      <c r="CF1" s="53"/>
      <c r="CG1" s="53"/>
      <c r="CH1" s="53"/>
      <c r="CI1" s="53"/>
      <c r="CJ1" s="53"/>
      <c r="CK1" s="53"/>
      <c r="CL1" s="53"/>
      <c r="CM1" s="53"/>
      <c r="CN1" s="53"/>
      <c r="CO1" s="53"/>
      <c r="CP1" s="53"/>
      <c r="CQ1" s="53"/>
      <c r="CR1" s="53"/>
      <c r="CS1" s="53"/>
      <c r="CT1" s="53"/>
      <c r="CU1" s="53"/>
      <c r="CV1" s="53"/>
      <c r="CW1" s="53"/>
      <c r="CX1" s="53"/>
      <c r="CY1" s="53"/>
      <c r="CZ1" s="53"/>
    </row>
    <row r="2" spans="1:118">
      <c r="A2" s="70" t="s">
        <v>60</v>
      </c>
      <c r="B2" s="70"/>
      <c r="C2" t="s">
        <v>48</v>
      </c>
      <c r="D2" t="s">
        <v>49</v>
      </c>
      <c r="E2" s="25">
        <v>41376</v>
      </c>
      <c r="F2" s="25">
        <v>41377</v>
      </c>
      <c r="G2" s="25">
        <v>41378</v>
      </c>
      <c r="H2" s="25">
        <v>41379</v>
      </c>
      <c r="I2" s="25">
        <v>41380</v>
      </c>
      <c r="J2" s="25">
        <v>41381</v>
      </c>
      <c r="K2" s="25">
        <v>41382</v>
      </c>
      <c r="L2" s="25">
        <v>41383</v>
      </c>
      <c r="M2" s="25">
        <v>41386</v>
      </c>
      <c r="N2" s="25">
        <v>41387</v>
      </c>
      <c r="O2" s="25">
        <v>41388</v>
      </c>
      <c r="P2" s="25">
        <v>41389</v>
      </c>
      <c r="Q2" s="25">
        <v>41390</v>
      </c>
      <c r="R2" s="25">
        <v>41391</v>
      </c>
      <c r="S2" s="25">
        <v>41392</v>
      </c>
      <c r="T2" s="25">
        <v>41393</v>
      </c>
      <c r="U2" s="25">
        <v>41394</v>
      </c>
      <c r="V2" s="25">
        <v>41396</v>
      </c>
      <c r="W2" s="25">
        <v>41397</v>
      </c>
      <c r="X2" s="25">
        <v>41398</v>
      </c>
      <c r="Y2" s="25">
        <v>41400</v>
      </c>
      <c r="Z2" s="25">
        <v>41401</v>
      </c>
      <c r="AA2" s="25">
        <v>41402</v>
      </c>
      <c r="AB2" s="25">
        <v>41403</v>
      </c>
      <c r="AC2" s="25">
        <v>41404</v>
      </c>
      <c r="AD2" s="25">
        <v>41405</v>
      </c>
      <c r="AE2" s="25">
        <v>41407</v>
      </c>
      <c r="AF2" s="25">
        <v>41408</v>
      </c>
      <c r="AG2" s="25">
        <v>41409</v>
      </c>
      <c r="AH2" s="25">
        <v>41410</v>
      </c>
      <c r="AI2" s="25">
        <v>41411</v>
      </c>
      <c r="AJ2" s="25">
        <v>41412</v>
      </c>
      <c r="AK2" s="25">
        <v>41414</v>
      </c>
      <c r="AL2" s="25">
        <v>41415</v>
      </c>
      <c r="AM2" s="44">
        <v>41416</v>
      </c>
      <c r="AN2" s="44">
        <v>41417</v>
      </c>
      <c r="AO2" s="44">
        <v>41418</v>
      </c>
      <c r="AP2" s="44">
        <v>41419</v>
      </c>
      <c r="AQ2" s="44">
        <v>41420</v>
      </c>
      <c r="AR2" s="44">
        <v>41421</v>
      </c>
      <c r="AS2" s="44">
        <v>41422</v>
      </c>
      <c r="AT2" s="44">
        <v>41423</v>
      </c>
      <c r="AU2" s="44">
        <v>41424</v>
      </c>
      <c r="AV2" s="44">
        <v>41425</v>
      </c>
      <c r="AW2" s="44">
        <v>41426</v>
      </c>
      <c r="AX2" s="44">
        <v>41428</v>
      </c>
      <c r="AY2" s="44">
        <v>41429</v>
      </c>
      <c r="AZ2" s="44">
        <v>41430</v>
      </c>
      <c r="BA2" s="44">
        <v>41431</v>
      </c>
      <c r="BB2" s="25">
        <v>41432</v>
      </c>
      <c r="BC2" s="25">
        <v>41433</v>
      </c>
      <c r="BD2" s="25">
        <v>41435</v>
      </c>
      <c r="BE2" s="25">
        <v>41436</v>
      </c>
      <c r="BF2" s="25">
        <v>41437</v>
      </c>
      <c r="BG2" s="25">
        <v>41438</v>
      </c>
      <c r="BH2" s="25">
        <v>41439</v>
      </c>
      <c r="BI2" s="25">
        <v>41440</v>
      </c>
      <c r="BJ2" s="25">
        <v>41442</v>
      </c>
      <c r="BK2" s="25">
        <v>41443</v>
      </c>
      <c r="BL2" s="25">
        <v>41444</v>
      </c>
      <c r="BM2" s="25">
        <v>41445</v>
      </c>
      <c r="BN2" s="25">
        <v>41446</v>
      </c>
      <c r="BO2" s="25">
        <v>41447</v>
      </c>
      <c r="BP2" s="25">
        <v>41449</v>
      </c>
      <c r="BQ2" s="44">
        <v>41450</v>
      </c>
      <c r="BR2" s="25">
        <v>41451</v>
      </c>
      <c r="BS2" s="25">
        <v>41452</v>
      </c>
      <c r="BT2" s="25">
        <v>41453</v>
      </c>
      <c r="BU2" s="25">
        <v>41454</v>
      </c>
      <c r="BV2" s="55">
        <v>41456</v>
      </c>
      <c r="BW2" s="55">
        <v>41457</v>
      </c>
      <c r="BX2" s="55">
        <v>41458</v>
      </c>
      <c r="BY2" s="55">
        <v>41459</v>
      </c>
      <c r="BZ2" s="55">
        <v>41460</v>
      </c>
      <c r="CA2" s="55">
        <v>41461</v>
      </c>
      <c r="CB2" s="55">
        <v>41463</v>
      </c>
      <c r="CC2" s="55">
        <v>41464</v>
      </c>
      <c r="CD2" s="55">
        <v>41465</v>
      </c>
      <c r="CE2" s="55">
        <v>41466</v>
      </c>
      <c r="CF2" s="55">
        <v>41467</v>
      </c>
      <c r="CG2" s="55">
        <v>41468</v>
      </c>
      <c r="CH2" s="55">
        <v>41470</v>
      </c>
      <c r="CI2" s="55">
        <v>41471</v>
      </c>
      <c r="CJ2" s="55">
        <v>41472</v>
      </c>
      <c r="CK2" s="56">
        <v>41473</v>
      </c>
      <c r="CL2" s="56">
        <v>41474</v>
      </c>
      <c r="CM2" s="56">
        <v>41475</v>
      </c>
      <c r="CN2" s="56">
        <v>41477</v>
      </c>
      <c r="CO2" s="56">
        <v>41478</v>
      </c>
      <c r="CP2" s="56">
        <v>41479</v>
      </c>
      <c r="CQ2" s="56">
        <v>41480</v>
      </c>
      <c r="CR2" s="56">
        <v>41481</v>
      </c>
      <c r="CS2" s="56">
        <v>41484</v>
      </c>
      <c r="CT2" s="45">
        <v>41482</v>
      </c>
      <c r="CU2" s="55">
        <v>41485</v>
      </c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</row>
    <row r="3" spans="1:118">
      <c r="A3" s="67" t="s">
        <v>40</v>
      </c>
      <c r="B3" s="68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31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>
      <c r="A4" s="14" t="s">
        <v>43</v>
      </c>
      <c r="B4" s="13">
        <f>C4-D4</f>
        <v>31</v>
      </c>
      <c r="C4">
        <v>48</v>
      </c>
      <c r="D4">
        <f>SUM(E4:TI4)</f>
        <v>17</v>
      </c>
      <c r="E4" s="2"/>
      <c r="F4" s="2">
        <v>1</v>
      </c>
      <c r="G4" s="2"/>
      <c r="H4" s="2"/>
      <c r="I4" s="2"/>
      <c r="J4" s="2">
        <v>1</v>
      </c>
      <c r="K4" s="2">
        <v>1</v>
      </c>
      <c r="L4" s="2">
        <v>1</v>
      </c>
      <c r="M4" s="2">
        <v>1</v>
      </c>
      <c r="N4" s="2"/>
      <c r="O4" s="2"/>
      <c r="P4" s="2">
        <v>1</v>
      </c>
      <c r="Q4" s="2"/>
      <c r="R4" s="2"/>
      <c r="S4" s="2"/>
      <c r="T4" s="2"/>
      <c r="U4" s="2">
        <v>1</v>
      </c>
      <c r="V4" s="2"/>
      <c r="W4" s="2">
        <v>1</v>
      </c>
      <c r="X4" s="2"/>
      <c r="Y4" s="2"/>
      <c r="Z4" s="2"/>
      <c r="AA4" s="2"/>
      <c r="AB4" s="2"/>
      <c r="AC4" s="2"/>
      <c r="AD4" s="2"/>
      <c r="AE4" s="2"/>
      <c r="AF4" s="2"/>
      <c r="AG4" s="2"/>
      <c r="AH4" s="2">
        <v>2</v>
      </c>
      <c r="AI4" s="2">
        <v>1</v>
      </c>
      <c r="AJ4" s="2">
        <v>1</v>
      </c>
      <c r="AK4" s="2"/>
      <c r="AL4" s="2"/>
      <c r="AM4" s="2"/>
      <c r="AN4" s="2"/>
      <c r="AO4" s="2"/>
      <c r="AP4" s="2"/>
      <c r="AQ4" s="2"/>
      <c r="AR4" s="2"/>
      <c r="AS4" s="2"/>
      <c r="AT4" s="2"/>
      <c r="AU4" s="2">
        <v>1</v>
      </c>
      <c r="AV4" s="2"/>
      <c r="AW4" s="2"/>
      <c r="AX4" s="2"/>
      <c r="AY4" s="2"/>
      <c r="AZ4" s="2"/>
      <c r="BA4" s="2"/>
      <c r="BB4" s="2">
        <v>1</v>
      </c>
      <c r="BC4" s="2"/>
      <c r="BD4" s="2"/>
      <c r="BE4" s="2"/>
      <c r="BF4" s="2"/>
      <c r="BG4" s="2"/>
      <c r="BH4" s="2"/>
      <c r="BI4" s="2"/>
      <c r="BJ4" s="2"/>
      <c r="BK4" s="2">
        <v>1</v>
      </c>
      <c r="BL4" s="2">
        <v>1</v>
      </c>
      <c r="BM4" s="2"/>
      <c r="BN4" s="2"/>
      <c r="BO4" s="2">
        <v>1</v>
      </c>
      <c r="BP4" s="31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</row>
    <row r="5" spans="1:118">
      <c r="A5" s="67" t="s">
        <v>41</v>
      </c>
      <c r="B5" s="68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31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</row>
    <row r="6" spans="1:118">
      <c r="A6" s="14" t="s">
        <v>46</v>
      </c>
      <c r="B6" s="13">
        <f t="shared" ref="B6:B10" si="0">C6-D6</f>
        <v>5</v>
      </c>
      <c r="C6">
        <v>5</v>
      </c>
      <c r="D6">
        <f>SUM(E6:TI6)</f>
        <v>0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31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</row>
    <row r="7" spans="1:118">
      <c r="A7" s="14" t="s">
        <v>47</v>
      </c>
      <c r="B7" s="13">
        <f t="shared" si="0"/>
        <v>458</v>
      </c>
      <c r="C7">
        <v>1671</v>
      </c>
      <c r="D7">
        <f>SUM(E7:TI7)</f>
        <v>1213</v>
      </c>
      <c r="E7" s="2">
        <v>31</v>
      </c>
      <c r="F7" s="2">
        <v>16</v>
      </c>
      <c r="G7" s="2"/>
      <c r="H7" s="2">
        <v>8</v>
      </c>
      <c r="I7" s="2">
        <v>18</v>
      </c>
      <c r="J7" s="2">
        <v>20</v>
      </c>
      <c r="K7" s="2">
        <v>26</v>
      </c>
      <c r="L7" s="2">
        <v>17</v>
      </c>
      <c r="M7" s="2">
        <v>36</v>
      </c>
      <c r="N7" s="2">
        <v>35</v>
      </c>
      <c r="O7" s="2">
        <v>48</v>
      </c>
      <c r="P7" s="2">
        <v>44</v>
      </c>
      <c r="Q7" s="2">
        <v>41</v>
      </c>
      <c r="R7" s="2">
        <v>39</v>
      </c>
      <c r="S7" s="2">
        <v>11</v>
      </c>
      <c r="T7" s="2">
        <v>39</v>
      </c>
      <c r="U7" s="2">
        <v>58</v>
      </c>
      <c r="V7" s="2">
        <v>44</v>
      </c>
      <c r="W7" s="2">
        <v>25</v>
      </c>
      <c r="X7" s="2">
        <v>25</v>
      </c>
      <c r="Y7" s="2">
        <v>17</v>
      </c>
      <c r="Z7" s="2">
        <v>19</v>
      </c>
      <c r="AA7" s="2">
        <v>18</v>
      </c>
      <c r="AB7" s="2">
        <v>10</v>
      </c>
      <c r="AC7" s="2">
        <v>9</v>
      </c>
      <c r="AD7" s="2">
        <v>9</v>
      </c>
      <c r="AE7" s="2">
        <v>106</v>
      </c>
      <c r="AF7" s="2">
        <v>14</v>
      </c>
      <c r="AG7" s="2">
        <v>48</v>
      </c>
      <c r="AH7" s="2">
        <v>25</v>
      </c>
      <c r="AI7" s="2">
        <v>18</v>
      </c>
      <c r="AJ7" s="2">
        <v>7</v>
      </c>
      <c r="AK7" s="2">
        <v>34</v>
      </c>
      <c r="AL7" s="2">
        <v>19</v>
      </c>
      <c r="AM7" s="2">
        <v>10</v>
      </c>
      <c r="AN7" s="2">
        <v>15</v>
      </c>
      <c r="AO7" s="2">
        <v>9</v>
      </c>
      <c r="AP7" s="2">
        <v>2</v>
      </c>
      <c r="AQ7" s="2">
        <v>2</v>
      </c>
      <c r="AR7" s="2">
        <v>15</v>
      </c>
      <c r="AS7" s="2">
        <v>5</v>
      </c>
      <c r="AT7" s="2">
        <v>10</v>
      </c>
      <c r="AU7" s="2">
        <v>4</v>
      </c>
      <c r="AV7" s="2">
        <v>9</v>
      </c>
      <c r="AW7" s="2">
        <v>8</v>
      </c>
      <c r="AX7" s="2">
        <v>4</v>
      </c>
      <c r="AY7" s="2">
        <v>4</v>
      </c>
      <c r="AZ7" s="2">
        <v>5</v>
      </c>
      <c r="BA7" s="2">
        <v>4</v>
      </c>
      <c r="BB7" s="8">
        <v>4</v>
      </c>
      <c r="BC7" s="2">
        <v>3</v>
      </c>
      <c r="BD7" s="2">
        <v>2</v>
      </c>
      <c r="BE7" s="2">
        <v>5</v>
      </c>
      <c r="BF7" s="2">
        <v>5</v>
      </c>
      <c r="BG7" s="2">
        <v>1</v>
      </c>
      <c r="BH7" s="2">
        <v>3</v>
      </c>
      <c r="BI7" s="2">
        <v>6</v>
      </c>
      <c r="BJ7" s="2">
        <v>2</v>
      </c>
      <c r="BK7" s="2">
        <v>5</v>
      </c>
      <c r="BL7" s="2">
        <v>1</v>
      </c>
      <c r="BM7" s="8">
        <v>4</v>
      </c>
      <c r="BN7" s="8">
        <v>2</v>
      </c>
      <c r="BO7" s="8">
        <v>1</v>
      </c>
      <c r="BP7" s="31"/>
      <c r="BQ7" s="8">
        <v>3</v>
      </c>
      <c r="BR7" s="8">
        <v>1</v>
      </c>
      <c r="BS7" s="2">
        <v>2</v>
      </c>
      <c r="BT7" s="2"/>
      <c r="BU7" s="2">
        <v>4</v>
      </c>
      <c r="BV7" s="2">
        <v>9</v>
      </c>
      <c r="BW7" s="2">
        <v>5</v>
      </c>
      <c r="BX7" s="2">
        <v>1</v>
      </c>
      <c r="BY7" s="2">
        <v>4</v>
      </c>
      <c r="BZ7" s="2">
        <v>5</v>
      </c>
      <c r="CA7" s="2">
        <v>49</v>
      </c>
      <c r="CB7" s="2">
        <v>5</v>
      </c>
      <c r="CC7" s="2">
        <v>3</v>
      </c>
      <c r="CD7" s="2">
        <v>4</v>
      </c>
      <c r="CE7" s="2">
        <v>1</v>
      </c>
      <c r="CF7" s="2">
        <v>1</v>
      </c>
      <c r="CG7" s="2">
        <v>1</v>
      </c>
      <c r="CH7" s="2">
        <v>2</v>
      </c>
      <c r="CI7" s="2">
        <v>1</v>
      </c>
      <c r="CJ7" s="2">
        <v>2</v>
      </c>
      <c r="CK7" s="2">
        <v>1</v>
      </c>
      <c r="CL7" s="2">
        <v>5</v>
      </c>
      <c r="CM7" s="2">
        <v>2</v>
      </c>
      <c r="CN7" s="2">
        <v>3</v>
      </c>
      <c r="CO7" s="2">
        <v>3</v>
      </c>
      <c r="CP7" s="2">
        <v>6</v>
      </c>
      <c r="CQ7" s="2">
        <v>2</v>
      </c>
      <c r="CR7" s="2">
        <v>1</v>
      </c>
      <c r="CS7" s="2">
        <v>1</v>
      </c>
      <c r="CT7" s="2"/>
      <c r="CU7" s="2">
        <v>2</v>
      </c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</row>
    <row r="8" spans="1:118">
      <c r="A8" s="67" t="s">
        <v>42</v>
      </c>
      <c r="B8" s="68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31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</row>
    <row r="9" spans="1:118">
      <c r="A9" s="13" t="s">
        <v>44</v>
      </c>
      <c r="B9" s="13">
        <f t="shared" si="0"/>
        <v>312</v>
      </c>
      <c r="C9">
        <v>312</v>
      </c>
      <c r="D9">
        <f>SUM(E9:TI9)</f>
        <v>0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31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</row>
    <row r="10" spans="1:118">
      <c r="A10" s="13" t="s">
        <v>45</v>
      </c>
      <c r="B10" s="13">
        <f t="shared" si="0"/>
        <v>2075</v>
      </c>
      <c r="C10">
        <v>3070</v>
      </c>
      <c r="D10">
        <f>SUM(E10:TI10)</f>
        <v>995</v>
      </c>
      <c r="E10" s="2">
        <v>6</v>
      </c>
      <c r="F10" s="2">
        <v>7</v>
      </c>
      <c r="G10" s="2"/>
      <c r="H10" s="2">
        <v>6</v>
      </c>
      <c r="I10" s="2">
        <v>14</v>
      </c>
      <c r="J10" s="2">
        <v>12</v>
      </c>
      <c r="K10" s="2">
        <v>12</v>
      </c>
      <c r="L10" s="2">
        <v>14</v>
      </c>
      <c r="M10" s="2">
        <v>12</v>
      </c>
      <c r="N10" s="2">
        <v>10</v>
      </c>
      <c r="O10" s="2">
        <v>12</v>
      </c>
      <c r="P10" s="2">
        <v>18</v>
      </c>
      <c r="Q10" s="2">
        <v>10</v>
      </c>
      <c r="R10" s="2">
        <v>13</v>
      </c>
      <c r="S10" s="2">
        <v>4</v>
      </c>
      <c r="T10" s="2">
        <v>17</v>
      </c>
      <c r="U10" s="2">
        <v>16</v>
      </c>
      <c r="V10" s="2">
        <v>20</v>
      </c>
      <c r="W10" s="2">
        <v>17</v>
      </c>
      <c r="X10" s="2">
        <v>10</v>
      </c>
      <c r="Y10" s="2">
        <v>12</v>
      </c>
      <c r="Z10" s="2">
        <v>7</v>
      </c>
      <c r="AA10" s="2">
        <v>18</v>
      </c>
      <c r="AB10" s="2">
        <v>16</v>
      </c>
      <c r="AC10" s="2">
        <v>12</v>
      </c>
      <c r="AD10" s="2">
        <v>12</v>
      </c>
      <c r="AE10" s="2">
        <v>4</v>
      </c>
      <c r="AF10" s="2">
        <v>14</v>
      </c>
      <c r="AG10" s="2">
        <v>9</v>
      </c>
      <c r="AH10" s="2">
        <v>11</v>
      </c>
      <c r="AI10" s="2">
        <v>24</v>
      </c>
      <c r="AJ10" s="2">
        <v>9</v>
      </c>
      <c r="AK10" s="2">
        <v>14</v>
      </c>
      <c r="AL10" s="2">
        <v>27</v>
      </c>
      <c r="AM10" s="2">
        <v>21</v>
      </c>
      <c r="AN10" s="2">
        <v>8</v>
      </c>
      <c r="AO10" s="2">
        <v>23</v>
      </c>
      <c r="AP10" s="2">
        <v>15</v>
      </c>
      <c r="AQ10" s="2">
        <v>3</v>
      </c>
      <c r="AR10" s="2">
        <v>21</v>
      </c>
      <c r="AS10" s="2">
        <v>12</v>
      </c>
      <c r="AT10" s="2">
        <v>31</v>
      </c>
      <c r="AU10" s="2">
        <v>5</v>
      </c>
      <c r="AV10" s="2">
        <v>22</v>
      </c>
      <c r="AW10" s="2">
        <v>8</v>
      </c>
      <c r="AX10" s="2">
        <v>19</v>
      </c>
      <c r="AY10" s="2">
        <v>12</v>
      </c>
      <c r="AZ10" s="2">
        <v>12</v>
      </c>
      <c r="BA10" s="2">
        <v>8</v>
      </c>
      <c r="BB10" s="2">
        <v>8</v>
      </c>
      <c r="BC10" s="2">
        <v>15</v>
      </c>
      <c r="BD10" s="2">
        <v>13</v>
      </c>
      <c r="BE10" s="2">
        <v>3</v>
      </c>
      <c r="BF10" s="2">
        <v>5</v>
      </c>
      <c r="BG10" s="2">
        <v>9</v>
      </c>
      <c r="BH10" s="2">
        <v>11</v>
      </c>
      <c r="BI10" s="2">
        <v>11</v>
      </c>
      <c r="BJ10" s="2">
        <v>7</v>
      </c>
      <c r="BK10" s="2">
        <v>5</v>
      </c>
      <c r="BL10" s="2">
        <v>8</v>
      </c>
      <c r="BM10" s="8">
        <v>6</v>
      </c>
      <c r="BN10" s="8">
        <v>6</v>
      </c>
      <c r="BO10" s="8">
        <v>6</v>
      </c>
      <c r="BP10" s="32">
        <v>2</v>
      </c>
      <c r="BQ10" s="8">
        <v>4</v>
      </c>
      <c r="BR10" s="8">
        <v>5</v>
      </c>
      <c r="BS10" s="2">
        <v>8</v>
      </c>
      <c r="BT10" s="2">
        <v>9</v>
      </c>
      <c r="BU10" s="2">
        <v>8</v>
      </c>
      <c r="BV10" s="2"/>
      <c r="BW10" s="2">
        <v>2</v>
      </c>
      <c r="BX10" s="2">
        <v>6</v>
      </c>
      <c r="BY10" s="2"/>
      <c r="BZ10" s="2">
        <v>18</v>
      </c>
      <c r="CA10" s="2">
        <v>2</v>
      </c>
      <c r="CB10" s="2">
        <v>2</v>
      </c>
      <c r="CC10" s="2">
        <v>79</v>
      </c>
      <c r="CD10" s="2">
        <v>48</v>
      </c>
      <c r="CE10" s="2">
        <v>14</v>
      </c>
      <c r="CF10" s="2">
        <v>2</v>
      </c>
      <c r="CG10" s="2">
        <v>4</v>
      </c>
      <c r="CH10" s="2">
        <v>3</v>
      </c>
      <c r="CI10" s="2">
        <v>2</v>
      </c>
      <c r="CJ10" s="2"/>
      <c r="CK10" s="2">
        <v>2</v>
      </c>
      <c r="CL10" s="2">
        <v>6</v>
      </c>
      <c r="CM10" s="2"/>
      <c r="CN10" s="2"/>
      <c r="CO10" s="2">
        <v>5</v>
      </c>
      <c r="CP10" s="2">
        <v>2</v>
      </c>
      <c r="CQ10" s="2">
        <v>1</v>
      </c>
      <c r="CR10" s="2">
        <v>2</v>
      </c>
      <c r="CS10" s="2">
        <v>2</v>
      </c>
      <c r="CT10" s="2">
        <v>3</v>
      </c>
      <c r="CU10" s="2">
        <v>2</v>
      </c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</row>
    <row r="11" spans="1:118">
      <c r="A11" s="10" t="s">
        <v>51</v>
      </c>
      <c r="B11" s="11">
        <f>B4+B6+B7+B9+B10</f>
        <v>2881</v>
      </c>
      <c r="E11" s="26">
        <f>SUM(E3:E10)</f>
        <v>37</v>
      </c>
      <c r="F11" s="26">
        <f t="shared" ref="F11:BQ11" si="1">SUM(F3:F10)</f>
        <v>24</v>
      </c>
      <c r="G11" s="26">
        <f t="shared" si="1"/>
        <v>0</v>
      </c>
      <c r="H11" s="26">
        <f t="shared" si="1"/>
        <v>14</v>
      </c>
      <c r="I11" s="26">
        <f t="shared" si="1"/>
        <v>32</v>
      </c>
      <c r="J11" s="26">
        <f t="shared" si="1"/>
        <v>33</v>
      </c>
      <c r="K11" s="26">
        <f t="shared" si="1"/>
        <v>39</v>
      </c>
      <c r="L11" s="26">
        <f t="shared" si="1"/>
        <v>32</v>
      </c>
      <c r="M11" s="26">
        <f t="shared" si="1"/>
        <v>49</v>
      </c>
      <c r="N11" s="26">
        <f t="shared" si="1"/>
        <v>45</v>
      </c>
      <c r="O11" s="26">
        <f t="shared" si="1"/>
        <v>60</v>
      </c>
      <c r="P11" s="26">
        <f t="shared" si="1"/>
        <v>63</v>
      </c>
      <c r="Q11" s="26">
        <f t="shared" si="1"/>
        <v>51</v>
      </c>
      <c r="R11" s="26">
        <f t="shared" si="1"/>
        <v>52</v>
      </c>
      <c r="S11" s="26">
        <f t="shared" si="1"/>
        <v>15</v>
      </c>
      <c r="T11" s="26">
        <f t="shared" si="1"/>
        <v>56</v>
      </c>
      <c r="U11" s="26">
        <f t="shared" si="1"/>
        <v>75</v>
      </c>
      <c r="V11" s="26">
        <f t="shared" si="1"/>
        <v>64</v>
      </c>
      <c r="W11" s="26">
        <f t="shared" si="1"/>
        <v>43</v>
      </c>
      <c r="X11" s="26">
        <f t="shared" si="1"/>
        <v>35</v>
      </c>
      <c r="Y11" s="26">
        <f t="shared" si="1"/>
        <v>29</v>
      </c>
      <c r="Z11" s="26">
        <f t="shared" si="1"/>
        <v>26</v>
      </c>
      <c r="AA11" s="26">
        <f t="shared" si="1"/>
        <v>36</v>
      </c>
      <c r="AB11" s="26">
        <f t="shared" si="1"/>
        <v>26</v>
      </c>
      <c r="AC11" s="26">
        <f t="shared" si="1"/>
        <v>21</v>
      </c>
      <c r="AD11" s="26">
        <f t="shared" si="1"/>
        <v>21</v>
      </c>
      <c r="AE11" s="26">
        <f t="shared" si="1"/>
        <v>110</v>
      </c>
      <c r="AF11" s="26">
        <f t="shared" si="1"/>
        <v>28</v>
      </c>
      <c r="AG11" s="26">
        <f t="shared" si="1"/>
        <v>57</v>
      </c>
      <c r="AH11" s="26">
        <f t="shared" si="1"/>
        <v>38</v>
      </c>
      <c r="AI11" s="26">
        <f t="shared" si="1"/>
        <v>43</v>
      </c>
      <c r="AJ11" s="26">
        <f t="shared" si="1"/>
        <v>17</v>
      </c>
      <c r="AK11" s="26">
        <f t="shared" si="1"/>
        <v>48</v>
      </c>
      <c r="AL11" s="26">
        <f t="shared" si="1"/>
        <v>46</v>
      </c>
      <c r="AM11" s="26">
        <f t="shared" si="1"/>
        <v>31</v>
      </c>
      <c r="AN11" s="26">
        <f t="shared" si="1"/>
        <v>23</v>
      </c>
      <c r="AO11" s="26">
        <f t="shared" si="1"/>
        <v>32</v>
      </c>
      <c r="AP11" s="26">
        <f t="shared" si="1"/>
        <v>17</v>
      </c>
      <c r="AQ11" s="26">
        <f t="shared" si="1"/>
        <v>5</v>
      </c>
      <c r="AR11" s="26">
        <f t="shared" si="1"/>
        <v>36</v>
      </c>
      <c r="AS11" s="26">
        <f t="shared" si="1"/>
        <v>17</v>
      </c>
      <c r="AT11" s="26">
        <f t="shared" si="1"/>
        <v>41</v>
      </c>
      <c r="AU11" s="26">
        <f t="shared" si="1"/>
        <v>10</v>
      </c>
      <c r="AV11" s="26">
        <f t="shared" si="1"/>
        <v>31</v>
      </c>
      <c r="AW11" s="26">
        <f t="shared" si="1"/>
        <v>16</v>
      </c>
      <c r="AX11" s="26">
        <f t="shared" si="1"/>
        <v>23</v>
      </c>
      <c r="AY11" s="26">
        <f t="shared" si="1"/>
        <v>16</v>
      </c>
      <c r="AZ11" s="26">
        <f t="shared" si="1"/>
        <v>17</v>
      </c>
      <c r="BA11" s="26">
        <f t="shared" si="1"/>
        <v>12</v>
      </c>
      <c r="BB11" s="26">
        <f t="shared" si="1"/>
        <v>13</v>
      </c>
      <c r="BC11" s="26">
        <f t="shared" si="1"/>
        <v>18</v>
      </c>
      <c r="BD11" s="26">
        <f t="shared" si="1"/>
        <v>15</v>
      </c>
      <c r="BE11" s="26">
        <f t="shared" si="1"/>
        <v>8</v>
      </c>
      <c r="BF11" s="26">
        <f t="shared" si="1"/>
        <v>10</v>
      </c>
      <c r="BG11" s="26">
        <f t="shared" si="1"/>
        <v>10</v>
      </c>
      <c r="BH11" s="26">
        <f t="shared" si="1"/>
        <v>14</v>
      </c>
      <c r="BI11" s="26">
        <f t="shared" si="1"/>
        <v>17</v>
      </c>
      <c r="BJ11" s="26">
        <f t="shared" si="1"/>
        <v>9</v>
      </c>
      <c r="BK11" s="26">
        <f t="shared" si="1"/>
        <v>11</v>
      </c>
      <c r="BL11" s="26">
        <f t="shared" si="1"/>
        <v>10</v>
      </c>
      <c r="BM11" s="26">
        <f t="shared" si="1"/>
        <v>10</v>
      </c>
      <c r="BN11" s="26">
        <f t="shared" si="1"/>
        <v>8</v>
      </c>
      <c r="BO11" s="26">
        <f t="shared" si="1"/>
        <v>8</v>
      </c>
      <c r="BP11" s="52">
        <f t="shared" si="1"/>
        <v>2</v>
      </c>
      <c r="BQ11" s="26">
        <f t="shared" si="1"/>
        <v>7</v>
      </c>
      <c r="BR11" s="51">
        <f t="shared" ref="BR11:DN11" si="2">SUM(BR3:BR10)</f>
        <v>6</v>
      </c>
      <c r="BS11" s="26">
        <f t="shared" si="2"/>
        <v>10</v>
      </c>
      <c r="BT11" s="26">
        <f t="shared" si="2"/>
        <v>9</v>
      </c>
      <c r="BU11" s="26">
        <f t="shared" si="2"/>
        <v>12</v>
      </c>
      <c r="BV11" s="26">
        <f t="shared" si="2"/>
        <v>9</v>
      </c>
      <c r="BW11" s="26">
        <f t="shared" si="2"/>
        <v>7</v>
      </c>
      <c r="BX11" s="26">
        <f t="shared" si="2"/>
        <v>7</v>
      </c>
      <c r="BY11" s="26">
        <f t="shared" si="2"/>
        <v>4</v>
      </c>
      <c r="BZ11" s="26">
        <f t="shared" si="2"/>
        <v>23</v>
      </c>
      <c r="CA11" s="26">
        <f t="shared" si="2"/>
        <v>51</v>
      </c>
      <c r="CB11" s="26">
        <f t="shared" si="2"/>
        <v>7</v>
      </c>
      <c r="CC11" s="26">
        <f t="shared" si="2"/>
        <v>82</v>
      </c>
      <c r="CD11" s="26">
        <f t="shared" si="2"/>
        <v>52</v>
      </c>
      <c r="CE11" s="26">
        <f t="shared" si="2"/>
        <v>15</v>
      </c>
      <c r="CF11" s="26">
        <f t="shared" si="2"/>
        <v>3</v>
      </c>
      <c r="CG11" s="26">
        <f t="shared" si="2"/>
        <v>5</v>
      </c>
      <c r="CH11" s="26">
        <f t="shared" si="2"/>
        <v>5</v>
      </c>
      <c r="CI11" s="26">
        <f t="shared" si="2"/>
        <v>3</v>
      </c>
      <c r="CJ11" s="26">
        <f t="shared" si="2"/>
        <v>2</v>
      </c>
      <c r="CK11" s="57">
        <f t="shared" si="2"/>
        <v>3</v>
      </c>
      <c r="CL11" s="57">
        <f t="shared" si="2"/>
        <v>11</v>
      </c>
      <c r="CM11" s="57">
        <f t="shared" si="2"/>
        <v>2</v>
      </c>
      <c r="CN11" s="57">
        <f t="shared" si="2"/>
        <v>3</v>
      </c>
      <c r="CO11" s="57">
        <f t="shared" si="2"/>
        <v>8</v>
      </c>
      <c r="CP11" s="57">
        <f t="shared" si="2"/>
        <v>8</v>
      </c>
      <c r="CQ11" s="57">
        <f t="shared" si="2"/>
        <v>3</v>
      </c>
      <c r="CR11" s="57">
        <f t="shared" si="2"/>
        <v>3</v>
      </c>
      <c r="CS11" s="57">
        <f t="shared" si="2"/>
        <v>3</v>
      </c>
      <c r="CT11" s="57">
        <f t="shared" si="2"/>
        <v>3</v>
      </c>
      <c r="CU11" s="57">
        <f t="shared" si="2"/>
        <v>4</v>
      </c>
      <c r="CV11" s="57">
        <f t="shared" si="2"/>
        <v>0</v>
      </c>
      <c r="CW11" s="57">
        <f t="shared" si="2"/>
        <v>0</v>
      </c>
      <c r="CX11" s="57">
        <f t="shared" si="2"/>
        <v>0</v>
      </c>
      <c r="CY11" s="57">
        <f t="shared" si="2"/>
        <v>0</v>
      </c>
      <c r="CZ11" s="57">
        <f t="shared" si="2"/>
        <v>0</v>
      </c>
      <c r="DA11" s="57">
        <f t="shared" si="2"/>
        <v>0</v>
      </c>
      <c r="DB11" s="57">
        <f t="shared" si="2"/>
        <v>0</v>
      </c>
      <c r="DC11" s="57">
        <f t="shared" si="2"/>
        <v>0</v>
      </c>
      <c r="DD11" s="57">
        <f t="shared" si="2"/>
        <v>0</v>
      </c>
      <c r="DE11" s="57">
        <f t="shared" si="2"/>
        <v>0</v>
      </c>
      <c r="DF11" s="57">
        <f t="shared" si="2"/>
        <v>0</v>
      </c>
      <c r="DG11" s="57">
        <f t="shared" si="2"/>
        <v>0</v>
      </c>
      <c r="DH11" s="57">
        <f t="shared" si="2"/>
        <v>0</v>
      </c>
      <c r="DI11" s="57">
        <f t="shared" si="2"/>
        <v>0</v>
      </c>
      <c r="DJ11" s="57">
        <f t="shared" si="2"/>
        <v>0</v>
      </c>
      <c r="DK11" s="57">
        <f t="shared" si="2"/>
        <v>0</v>
      </c>
      <c r="DL11" s="57">
        <f t="shared" si="2"/>
        <v>0</v>
      </c>
      <c r="DM11" s="57">
        <f t="shared" si="2"/>
        <v>0</v>
      </c>
      <c r="DN11" s="57">
        <f t="shared" si="2"/>
        <v>0</v>
      </c>
    </row>
  </sheetData>
  <mergeCells count="4">
    <mergeCell ref="A2:B2"/>
    <mergeCell ref="A3:B3"/>
    <mergeCell ref="A5:B5"/>
    <mergeCell ref="A8:B8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:AA14"/>
  <sheetViews>
    <sheetView workbookViewId="0">
      <selection activeCell="I2" sqref="I2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110</v>
      </c>
      <c r="B2" s="1">
        <v>41456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H2" t="s">
        <v>116</v>
      </c>
      <c r="I2" t="s">
        <v>117</v>
      </c>
      <c r="J2" t="s">
        <v>118</v>
      </c>
      <c r="K2" t="s">
        <v>119</v>
      </c>
      <c r="L2" t="s">
        <v>120</v>
      </c>
      <c r="M2" t="s">
        <v>121</v>
      </c>
      <c r="N2" t="s">
        <v>122</v>
      </c>
      <c r="P2" t="s">
        <v>52</v>
      </c>
      <c r="Q2" t="s">
        <v>123</v>
      </c>
      <c r="R2" t="s">
        <v>124</v>
      </c>
      <c r="S2" t="s">
        <v>125</v>
      </c>
      <c r="T2" t="s">
        <v>126</v>
      </c>
      <c r="U2" t="s">
        <v>127</v>
      </c>
      <c r="V2" t="s">
        <v>128</v>
      </c>
      <c r="W2" t="s">
        <v>129</v>
      </c>
      <c r="X2" t="s">
        <v>130</v>
      </c>
      <c r="Y2" t="s">
        <v>128</v>
      </c>
      <c r="Z2" t="s">
        <v>131</v>
      </c>
      <c r="AA2" t="s">
        <v>132</v>
      </c>
    </row>
    <row r="3" spans="1:27">
      <c r="A3" t="s">
        <v>133</v>
      </c>
      <c r="B3" s="1">
        <v>41456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H3" t="s">
        <v>116</v>
      </c>
      <c r="I3" t="s">
        <v>134</v>
      </c>
      <c r="J3" t="s">
        <v>118</v>
      </c>
      <c r="K3" t="s">
        <v>119</v>
      </c>
      <c r="L3" t="s">
        <v>120</v>
      </c>
      <c r="M3" t="s">
        <v>121</v>
      </c>
      <c r="N3" t="s">
        <v>122</v>
      </c>
      <c r="P3" t="s">
        <v>52</v>
      </c>
      <c r="Q3" t="s">
        <v>123</v>
      </c>
      <c r="R3" t="s">
        <v>135</v>
      </c>
      <c r="S3" t="s">
        <v>125</v>
      </c>
      <c r="T3" t="s">
        <v>126</v>
      </c>
      <c r="U3" t="s">
        <v>127</v>
      </c>
      <c r="V3" t="s">
        <v>128</v>
      </c>
      <c r="W3" t="s">
        <v>136</v>
      </c>
      <c r="X3" t="s">
        <v>130</v>
      </c>
      <c r="Y3" t="s">
        <v>128</v>
      </c>
      <c r="Z3" t="s">
        <v>137</v>
      </c>
      <c r="AA3" t="s">
        <v>138</v>
      </c>
    </row>
    <row r="4" spans="1:27">
      <c r="A4" t="s">
        <v>139</v>
      </c>
      <c r="B4" s="1">
        <v>41456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H4" t="s">
        <v>116</v>
      </c>
      <c r="I4" t="s">
        <v>140</v>
      </c>
      <c r="J4" t="s">
        <v>118</v>
      </c>
      <c r="K4" t="s">
        <v>119</v>
      </c>
      <c r="L4" t="s">
        <v>120</v>
      </c>
      <c r="M4" t="s">
        <v>121</v>
      </c>
      <c r="N4" t="s">
        <v>122</v>
      </c>
      <c r="P4" t="s">
        <v>52</v>
      </c>
      <c r="Q4" t="s">
        <v>141</v>
      </c>
      <c r="R4" t="s">
        <v>142</v>
      </c>
      <c r="S4" t="s">
        <v>143</v>
      </c>
      <c r="T4" t="s">
        <v>144</v>
      </c>
      <c r="U4" t="s">
        <v>145</v>
      </c>
      <c r="V4" t="s">
        <v>128</v>
      </c>
      <c r="W4" t="s">
        <v>146</v>
      </c>
      <c r="X4" t="s">
        <v>147</v>
      </c>
      <c r="Y4" t="s">
        <v>128</v>
      </c>
      <c r="Z4" t="s">
        <v>148</v>
      </c>
      <c r="AA4" t="s">
        <v>149</v>
      </c>
    </row>
    <row r="5" spans="1:27">
      <c r="A5" t="s">
        <v>150</v>
      </c>
      <c r="B5" s="1">
        <v>41456</v>
      </c>
      <c r="C5" t="s">
        <v>111</v>
      </c>
      <c r="D5" t="s">
        <v>112</v>
      </c>
      <c r="E5" t="s">
        <v>113</v>
      </c>
      <c r="F5" t="s">
        <v>114</v>
      </c>
      <c r="G5" t="s">
        <v>115</v>
      </c>
      <c r="H5" t="s">
        <v>116</v>
      </c>
      <c r="I5" t="s">
        <v>151</v>
      </c>
      <c r="J5" t="s">
        <v>118</v>
      </c>
      <c r="K5" t="s">
        <v>119</v>
      </c>
      <c r="L5" t="s">
        <v>120</v>
      </c>
      <c r="M5" t="s">
        <v>121</v>
      </c>
      <c r="N5" t="s">
        <v>122</v>
      </c>
      <c r="P5" t="s">
        <v>52</v>
      </c>
      <c r="Q5" t="s">
        <v>123</v>
      </c>
      <c r="R5" t="s">
        <v>135</v>
      </c>
      <c r="S5" t="s">
        <v>125</v>
      </c>
      <c r="T5" t="s">
        <v>126</v>
      </c>
      <c r="U5" t="s">
        <v>127</v>
      </c>
      <c r="V5" t="s">
        <v>128</v>
      </c>
      <c r="W5" t="s">
        <v>129</v>
      </c>
      <c r="X5" t="s">
        <v>130</v>
      </c>
      <c r="Y5" t="s">
        <v>128</v>
      </c>
      <c r="Z5" t="s">
        <v>152</v>
      </c>
      <c r="AA5" t="s">
        <v>132</v>
      </c>
    </row>
    <row r="6" spans="1:27">
      <c r="A6" t="s">
        <v>153</v>
      </c>
      <c r="B6" s="1">
        <v>41456</v>
      </c>
      <c r="C6" t="s">
        <v>111</v>
      </c>
      <c r="D6" t="s">
        <v>112</v>
      </c>
      <c r="E6" t="s">
        <v>113</v>
      </c>
      <c r="F6" t="s">
        <v>114</v>
      </c>
      <c r="G6" t="s">
        <v>115</v>
      </c>
      <c r="H6" t="s">
        <v>116</v>
      </c>
      <c r="I6" t="s">
        <v>154</v>
      </c>
      <c r="J6" t="s">
        <v>118</v>
      </c>
      <c r="K6" t="s">
        <v>119</v>
      </c>
      <c r="L6" t="s">
        <v>120</v>
      </c>
      <c r="M6" t="s">
        <v>121</v>
      </c>
      <c r="N6" t="s">
        <v>122</v>
      </c>
      <c r="P6" t="s">
        <v>52</v>
      </c>
      <c r="Q6" t="s">
        <v>123</v>
      </c>
      <c r="R6" t="s">
        <v>135</v>
      </c>
      <c r="S6" t="s">
        <v>125</v>
      </c>
      <c r="T6" t="s">
        <v>126</v>
      </c>
      <c r="U6" t="s">
        <v>155</v>
      </c>
      <c r="V6" t="s">
        <v>128</v>
      </c>
      <c r="W6" t="s">
        <v>129</v>
      </c>
      <c r="X6" t="s">
        <v>130</v>
      </c>
      <c r="Y6" t="s">
        <v>128</v>
      </c>
      <c r="Z6" t="s">
        <v>156</v>
      </c>
      <c r="AA6" t="s">
        <v>132</v>
      </c>
    </row>
    <row r="7" spans="1:27">
      <c r="A7" t="s">
        <v>157</v>
      </c>
      <c r="B7" s="1">
        <v>41456</v>
      </c>
      <c r="C7" t="s">
        <v>111</v>
      </c>
      <c r="D7" t="s">
        <v>112</v>
      </c>
      <c r="E7" t="s">
        <v>113</v>
      </c>
      <c r="F7" t="s">
        <v>114</v>
      </c>
      <c r="G7" t="s">
        <v>115</v>
      </c>
      <c r="H7" t="s">
        <v>116</v>
      </c>
      <c r="I7" t="s">
        <v>158</v>
      </c>
      <c r="J7" t="s">
        <v>118</v>
      </c>
      <c r="K7" t="s">
        <v>119</v>
      </c>
      <c r="L7" t="s">
        <v>120</v>
      </c>
      <c r="M7" t="s">
        <v>121</v>
      </c>
      <c r="N7" t="s">
        <v>122</v>
      </c>
      <c r="P7" t="s">
        <v>52</v>
      </c>
      <c r="Q7" t="s">
        <v>159</v>
      </c>
      <c r="R7" t="s">
        <v>135</v>
      </c>
      <c r="S7" t="s">
        <v>143</v>
      </c>
      <c r="T7" t="s">
        <v>160</v>
      </c>
      <c r="U7" t="s">
        <v>127</v>
      </c>
      <c r="V7" t="s">
        <v>161</v>
      </c>
      <c r="W7" t="s">
        <v>162</v>
      </c>
      <c r="X7" t="s">
        <v>130</v>
      </c>
      <c r="Y7" t="s">
        <v>161</v>
      </c>
      <c r="Z7" t="s">
        <v>163</v>
      </c>
      <c r="AA7" t="s">
        <v>164</v>
      </c>
    </row>
    <row r="8" spans="1:27">
      <c r="A8" t="s">
        <v>165</v>
      </c>
      <c r="B8" s="1">
        <v>41456</v>
      </c>
      <c r="C8" t="s">
        <v>111</v>
      </c>
      <c r="D8" t="s">
        <v>112</v>
      </c>
      <c r="E8" t="s">
        <v>113</v>
      </c>
      <c r="F8" t="s">
        <v>114</v>
      </c>
      <c r="G8" t="s">
        <v>115</v>
      </c>
      <c r="H8" t="s">
        <v>116</v>
      </c>
      <c r="I8" t="s">
        <v>166</v>
      </c>
      <c r="J8" t="s">
        <v>118</v>
      </c>
      <c r="K8" t="s">
        <v>119</v>
      </c>
      <c r="L8" t="s">
        <v>120</v>
      </c>
      <c r="M8" t="s">
        <v>121</v>
      </c>
      <c r="N8" t="s">
        <v>122</v>
      </c>
      <c r="P8" t="s">
        <v>52</v>
      </c>
      <c r="Q8" t="s">
        <v>123</v>
      </c>
      <c r="R8" t="s">
        <v>167</v>
      </c>
      <c r="S8" t="s">
        <v>168</v>
      </c>
      <c r="T8" t="s">
        <v>169</v>
      </c>
      <c r="U8" t="s">
        <v>155</v>
      </c>
      <c r="V8" t="s">
        <v>170</v>
      </c>
      <c r="W8" t="s">
        <v>171</v>
      </c>
      <c r="X8" t="s">
        <v>172</v>
      </c>
      <c r="Y8" t="s">
        <v>170</v>
      </c>
      <c r="Z8" t="s">
        <v>173</v>
      </c>
      <c r="AA8" t="s">
        <v>174</v>
      </c>
    </row>
    <row r="9" spans="1:27">
      <c r="A9" t="s">
        <v>175</v>
      </c>
      <c r="B9" s="1">
        <v>41456</v>
      </c>
      <c r="C9" t="s">
        <v>111</v>
      </c>
      <c r="D9" t="s">
        <v>112</v>
      </c>
      <c r="E9" t="s">
        <v>113</v>
      </c>
      <c r="F9" t="s">
        <v>114</v>
      </c>
      <c r="G9" t="s">
        <v>115</v>
      </c>
      <c r="H9" t="s">
        <v>176</v>
      </c>
      <c r="I9" t="s">
        <v>177</v>
      </c>
      <c r="J9" t="s">
        <v>118</v>
      </c>
      <c r="K9" t="s">
        <v>119</v>
      </c>
      <c r="L9" t="s">
        <v>120</v>
      </c>
      <c r="M9" t="s">
        <v>121</v>
      </c>
      <c r="N9" t="s">
        <v>122</v>
      </c>
      <c r="P9" t="s">
        <v>54</v>
      </c>
      <c r="Q9" t="s">
        <v>178</v>
      </c>
      <c r="R9" t="s">
        <v>179</v>
      </c>
      <c r="S9" t="s">
        <v>143</v>
      </c>
      <c r="T9" t="s">
        <v>180</v>
      </c>
      <c r="U9" t="s">
        <v>127</v>
      </c>
      <c r="V9" t="s">
        <v>128</v>
      </c>
      <c r="W9" t="s">
        <v>181</v>
      </c>
      <c r="X9" t="s">
        <v>182</v>
      </c>
      <c r="Y9" t="s">
        <v>128</v>
      </c>
      <c r="Z9" t="s">
        <v>148</v>
      </c>
      <c r="AA9" t="s">
        <v>138</v>
      </c>
    </row>
    <row r="10" spans="1:27">
      <c r="A10" t="s">
        <v>183</v>
      </c>
      <c r="B10" s="1">
        <v>41456</v>
      </c>
      <c r="C10" t="s">
        <v>111</v>
      </c>
      <c r="D10" t="s">
        <v>112</v>
      </c>
      <c r="E10" t="s">
        <v>113</v>
      </c>
      <c r="F10" t="s">
        <v>114</v>
      </c>
      <c r="G10" t="s">
        <v>115</v>
      </c>
      <c r="H10" t="s">
        <v>116</v>
      </c>
      <c r="I10" t="s">
        <v>184</v>
      </c>
      <c r="J10" t="s">
        <v>118</v>
      </c>
      <c r="K10" t="s">
        <v>119</v>
      </c>
      <c r="L10" t="s">
        <v>120</v>
      </c>
      <c r="M10" t="s">
        <v>121</v>
      </c>
      <c r="N10" t="s">
        <v>122</v>
      </c>
      <c r="P10" t="s">
        <v>52</v>
      </c>
      <c r="Q10" t="s">
        <v>185</v>
      </c>
      <c r="R10" t="s">
        <v>135</v>
      </c>
      <c r="S10" t="s">
        <v>143</v>
      </c>
      <c r="T10" t="s">
        <v>186</v>
      </c>
      <c r="U10" t="s">
        <v>127</v>
      </c>
      <c r="V10" t="s">
        <v>128</v>
      </c>
      <c r="W10" t="s">
        <v>187</v>
      </c>
      <c r="X10" t="s">
        <v>188</v>
      </c>
      <c r="Y10" t="s">
        <v>128</v>
      </c>
      <c r="Z10" t="s">
        <v>189</v>
      </c>
      <c r="AA10" t="s">
        <v>190</v>
      </c>
    </row>
    <row r="11" spans="1:27">
      <c r="A11" t="s">
        <v>191</v>
      </c>
      <c r="B11" s="1">
        <v>41456</v>
      </c>
      <c r="C11" t="s">
        <v>111</v>
      </c>
      <c r="D11" t="s">
        <v>112</v>
      </c>
      <c r="E11" t="s">
        <v>113</v>
      </c>
      <c r="F11" t="s">
        <v>114</v>
      </c>
      <c r="G11" t="s">
        <v>115</v>
      </c>
      <c r="I11" t="s">
        <v>192</v>
      </c>
      <c r="J11" t="s">
        <v>118</v>
      </c>
      <c r="K11" t="s">
        <v>119</v>
      </c>
      <c r="L11" t="s">
        <v>120</v>
      </c>
      <c r="M11" t="s">
        <v>121</v>
      </c>
      <c r="N11" t="s">
        <v>193</v>
      </c>
      <c r="O11" t="s">
        <v>8</v>
      </c>
      <c r="P11" t="s">
        <v>52</v>
      </c>
      <c r="Q11" t="s">
        <v>123</v>
      </c>
      <c r="R11" t="s">
        <v>194</v>
      </c>
      <c r="S11" t="s">
        <v>125</v>
      </c>
      <c r="T11" t="s">
        <v>126</v>
      </c>
      <c r="U11" t="s">
        <v>155</v>
      </c>
      <c r="W11" t="s">
        <v>129</v>
      </c>
      <c r="X11" t="s">
        <v>130</v>
      </c>
      <c r="Y11" t="s">
        <v>195</v>
      </c>
      <c r="Z11" t="s">
        <v>196</v>
      </c>
      <c r="AA11" t="s">
        <v>132</v>
      </c>
    </row>
    <row r="12" spans="1:27">
      <c r="A12" t="s">
        <v>197</v>
      </c>
      <c r="B12" s="1">
        <v>41456</v>
      </c>
      <c r="C12" t="s">
        <v>111</v>
      </c>
      <c r="D12" t="s">
        <v>112</v>
      </c>
      <c r="E12" t="s">
        <v>113</v>
      </c>
      <c r="F12" t="s">
        <v>114</v>
      </c>
      <c r="G12" t="s">
        <v>115</v>
      </c>
      <c r="I12" t="s">
        <v>198</v>
      </c>
      <c r="J12" t="s">
        <v>118</v>
      </c>
      <c r="K12" t="s">
        <v>119</v>
      </c>
      <c r="L12" t="s">
        <v>120</v>
      </c>
      <c r="M12" t="s">
        <v>121</v>
      </c>
      <c r="N12" t="s">
        <v>199</v>
      </c>
      <c r="O12" t="s">
        <v>3</v>
      </c>
      <c r="P12" t="s">
        <v>52</v>
      </c>
      <c r="Q12" t="s">
        <v>123</v>
      </c>
      <c r="S12" t="s">
        <v>200</v>
      </c>
      <c r="T12" t="s">
        <v>201</v>
      </c>
      <c r="W12" t="s">
        <v>129</v>
      </c>
      <c r="X12" t="s">
        <v>130</v>
      </c>
      <c r="Z12" t="s">
        <v>202</v>
      </c>
      <c r="AA12" t="s">
        <v>132</v>
      </c>
    </row>
    <row r="13" spans="1:27">
      <c r="A13" t="s">
        <v>203</v>
      </c>
      <c r="B13" s="1">
        <v>41456</v>
      </c>
      <c r="C13" t="s">
        <v>111</v>
      </c>
      <c r="D13" t="s">
        <v>112</v>
      </c>
      <c r="E13" t="s">
        <v>113</v>
      </c>
      <c r="F13" t="s">
        <v>114</v>
      </c>
      <c r="G13" t="s">
        <v>115</v>
      </c>
      <c r="I13" t="s">
        <v>204</v>
      </c>
      <c r="J13" t="s">
        <v>118</v>
      </c>
      <c r="K13" t="s">
        <v>119</v>
      </c>
      <c r="L13" t="s">
        <v>120</v>
      </c>
      <c r="M13" t="s">
        <v>121</v>
      </c>
      <c r="N13" t="s">
        <v>199</v>
      </c>
      <c r="O13" t="s">
        <v>12</v>
      </c>
      <c r="P13" t="s">
        <v>52</v>
      </c>
      <c r="Q13" t="s">
        <v>123</v>
      </c>
      <c r="S13" t="s">
        <v>125</v>
      </c>
      <c r="T13" t="s">
        <v>126</v>
      </c>
      <c r="W13" t="s">
        <v>129</v>
      </c>
      <c r="X13" t="s">
        <v>130</v>
      </c>
      <c r="Z13" t="s">
        <v>156</v>
      </c>
      <c r="AA13" t="s">
        <v>132</v>
      </c>
    </row>
    <row r="14" spans="1:27">
      <c r="A14" t="s">
        <v>205</v>
      </c>
      <c r="B14" s="1">
        <v>41456</v>
      </c>
      <c r="C14" t="s">
        <v>111</v>
      </c>
      <c r="D14" t="s">
        <v>112</v>
      </c>
      <c r="E14" t="s">
        <v>113</v>
      </c>
      <c r="F14" t="s">
        <v>114</v>
      </c>
      <c r="G14" t="s">
        <v>115</v>
      </c>
      <c r="I14" t="s">
        <v>206</v>
      </c>
      <c r="J14" t="s">
        <v>118</v>
      </c>
      <c r="K14" t="s">
        <v>119</v>
      </c>
      <c r="L14" t="s">
        <v>120</v>
      </c>
      <c r="M14" t="s">
        <v>121</v>
      </c>
      <c r="N14" t="s">
        <v>199</v>
      </c>
      <c r="O14" t="s">
        <v>6</v>
      </c>
      <c r="P14" t="s">
        <v>52</v>
      </c>
      <c r="Q14" t="s">
        <v>123</v>
      </c>
      <c r="S14" t="s">
        <v>200</v>
      </c>
      <c r="T14" t="s">
        <v>207</v>
      </c>
      <c r="W14" t="s">
        <v>208</v>
      </c>
      <c r="X14" t="s">
        <v>182</v>
      </c>
      <c r="Z14" t="s">
        <v>196</v>
      </c>
      <c r="AA14" t="s">
        <v>209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1:AA7"/>
  <sheetViews>
    <sheetView workbookViewId="0">
      <selection activeCell="I2" sqref="I2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197</v>
      </c>
      <c r="B2" s="1">
        <v>41456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I2" t="s">
        <v>198</v>
      </c>
      <c r="J2" t="s">
        <v>118</v>
      </c>
      <c r="K2" t="s">
        <v>119</v>
      </c>
      <c r="L2" t="s">
        <v>120</v>
      </c>
      <c r="M2" t="s">
        <v>121</v>
      </c>
      <c r="N2" t="s">
        <v>199</v>
      </c>
      <c r="O2" t="s">
        <v>3</v>
      </c>
      <c r="P2" t="s">
        <v>52</v>
      </c>
      <c r="Q2" t="s">
        <v>123</v>
      </c>
      <c r="S2" t="s">
        <v>200</v>
      </c>
      <c r="T2" t="s">
        <v>201</v>
      </c>
      <c r="W2" t="s">
        <v>129</v>
      </c>
      <c r="X2" t="s">
        <v>130</v>
      </c>
      <c r="Z2" t="s">
        <v>202</v>
      </c>
      <c r="AA2" t="s">
        <v>132</v>
      </c>
    </row>
    <row r="3" spans="1:27">
      <c r="A3" t="s">
        <v>205</v>
      </c>
      <c r="B3" s="1">
        <v>41456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I3" t="s">
        <v>206</v>
      </c>
      <c r="J3" t="s">
        <v>118</v>
      </c>
      <c r="K3" t="s">
        <v>119</v>
      </c>
      <c r="L3" t="s">
        <v>120</v>
      </c>
      <c r="M3" t="s">
        <v>121</v>
      </c>
      <c r="N3" t="s">
        <v>199</v>
      </c>
      <c r="O3" t="s">
        <v>6</v>
      </c>
      <c r="P3" t="s">
        <v>52</v>
      </c>
      <c r="Q3" t="s">
        <v>123</v>
      </c>
      <c r="S3" t="s">
        <v>200</v>
      </c>
      <c r="T3" t="s">
        <v>207</v>
      </c>
      <c r="W3" t="s">
        <v>208</v>
      </c>
      <c r="X3" t="s">
        <v>182</v>
      </c>
      <c r="Z3" t="s">
        <v>196</v>
      </c>
      <c r="AA3" t="s">
        <v>209</v>
      </c>
    </row>
    <row r="4" spans="1:27">
      <c r="A4" t="s">
        <v>210</v>
      </c>
      <c r="B4" s="1">
        <v>41456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I4" t="s">
        <v>177</v>
      </c>
      <c r="J4" t="s">
        <v>118</v>
      </c>
      <c r="K4" t="s">
        <v>119</v>
      </c>
      <c r="L4" t="s">
        <v>120</v>
      </c>
      <c r="M4" t="s">
        <v>121</v>
      </c>
      <c r="N4" t="s">
        <v>199</v>
      </c>
      <c r="O4" t="s">
        <v>6</v>
      </c>
      <c r="P4" t="s">
        <v>54</v>
      </c>
      <c r="Q4" t="s">
        <v>211</v>
      </c>
      <c r="S4" t="s">
        <v>143</v>
      </c>
      <c r="T4" t="s">
        <v>180</v>
      </c>
      <c r="W4" t="s">
        <v>181</v>
      </c>
      <c r="X4" t="s">
        <v>182</v>
      </c>
      <c r="Z4" t="s">
        <v>148</v>
      </c>
      <c r="AA4" t="s">
        <v>138</v>
      </c>
    </row>
    <row r="5" spans="1:27">
      <c r="A5" t="s">
        <v>212</v>
      </c>
      <c r="B5" s="1">
        <v>41456</v>
      </c>
      <c r="C5" t="s">
        <v>111</v>
      </c>
      <c r="D5" t="s">
        <v>112</v>
      </c>
      <c r="E5" t="s">
        <v>113</v>
      </c>
      <c r="F5" t="s">
        <v>114</v>
      </c>
      <c r="G5" t="s">
        <v>115</v>
      </c>
      <c r="I5" t="s">
        <v>213</v>
      </c>
      <c r="J5" t="s">
        <v>118</v>
      </c>
      <c r="K5" t="s">
        <v>119</v>
      </c>
      <c r="L5" t="s">
        <v>120</v>
      </c>
      <c r="M5" t="s">
        <v>121</v>
      </c>
      <c r="N5" t="s">
        <v>199</v>
      </c>
      <c r="O5" t="s">
        <v>7</v>
      </c>
      <c r="P5" t="s">
        <v>53</v>
      </c>
      <c r="Q5" t="s">
        <v>214</v>
      </c>
      <c r="S5" t="s">
        <v>215</v>
      </c>
      <c r="T5" t="s">
        <v>216</v>
      </c>
      <c r="W5" t="s">
        <v>217</v>
      </c>
      <c r="X5" t="s">
        <v>182</v>
      </c>
      <c r="Z5" t="s">
        <v>218</v>
      </c>
      <c r="AA5" t="s">
        <v>219</v>
      </c>
    </row>
    <row r="6" spans="1:27">
      <c r="A6" t="s">
        <v>191</v>
      </c>
      <c r="B6" s="1">
        <v>41456</v>
      </c>
      <c r="C6" t="s">
        <v>111</v>
      </c>
      <c r="D6" t="s">
        <v>112</v>
      </c>
      <c r="E6" t="s">
        <v>113</v>
      </c>
      <c r="F6" t="s">
        <v>114</v>
      </c>
      <c r="G6" t="s">
        <v>115</v>
      </c>
      <c r="I6" t="s">
        <v>192</v>
      </c>
      <c r="J6" t="s">
        <v>118</v>
      </c>
      <c r="K6" t="s">
        <v>119</v>
      </c>
      <c r="L6" t="s">
        <v>120</v>
      </c>
      <c r="M6" t="s">
        <v>121</v>
      </c>
      <c r="N6" t="s">
        <v>193</v>
      </c>
      <c r="O6" t="s">
        <v>8</v>
      </c>
      <c r="P6" t="s">
        <v>52</v>
      </c>
      <c r="Q6" t="s">
        <v>123</v>
      </c>
      <c r="R6" t="s">
        <v>194</v>
      </c>
      <c r="S6" t="s">
        <v>125</v>
      </c>
      <c r="T6" t="s">
        <v>126</v>
      </c>
      <c r="U6" t="s">
        <v>155</v>
      </c>
      <c r="W6" t="s">
        <v>129</v>
      </c>
      <c r="X6" t="s">
        <v>130</v>
      </c>
      <c r="Y6" t="s">
        <v>195</v>
      </c>
      <c r="Z6" t="s">
        <v>196</v>
      </c>
      <c r="AA6" t="s">
        <v>132</v>
      </c>
    </row>
    <row r="7" spans="1:27">
      <c r="A7" t="s">
        <v>203</v>
      </c>
      <c r="B7" s="1">
        <v>41456</v>
      </c>
      <c r="C7" t="s">
        <v>111</v>
      </c>
      <c r="D7" t="s">
        <v>112</v>
      </c>
      <c r="E7" t="s">
        <v>113</v>
      </c>
      <c r="F7" t="s">
        <v>114</v>
      </c>
      <c r="G7" t="s">
        <v>115</v>
      </c>
      <c r="I7" t="s">
        <v>204</v>
      </c>
      <c r="J7" t="s">
        <v>118</v>
      </c>
      <c r="K7" t="s">
        <v>119</v>
      </c>
      <c r="L7" t="s">
        <v>120</v>
      </c>
      <c r="M7" t="s">
        <v>121</v>
      </c>
      <c r="N7" t="s">
        <v>199</v>
      </c>
      <c r="O7" t="s">
        <v>12</v>
      </c>
      <c r="P7" t="s">
        <v>52</v>
      </c>
      <c r="Q7" t="s">
        <v>123</v>
      </c>
      <c r="S7" t="s">
        <v>125</v>
      </c>
      <c r="T7" t="s">
        <v>126</v>
      </c>
      <c r="W7" t="s">
        <v>129</v>
      </c>
      <c r="X7" t="s">
        <v>130</v>
      </c>
      <c r="Z7" t="s">
        <v>156</v>
      </c>
      <c r="AA7" t="s">
        <v>132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5"/>
  <dimension ref="A1:AA9"/>
  <sheetViews>
    <sheetView workbookViewId="0">
      <selection activeCell="I2" sqref="I2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220</v>
      </c>
      <c r="B2" s="1">
        <v>41457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H2" t="s">
        <v>116</v>
      </c>
      <c r="I2" t="s">
        <v>221</v>
      </c>
      <c r="J2" t="s">
        <v>118</v>
      </c>
      <c r="K2" t="s">
        <v>119</v>
      </c>
      <c r="L2" t="s">
        <v>120</v>
      </c>
      <c r="M2" t="s">
        <v>121</v>
      </c>
      <c r="N2" t="s">
        <v>122</v>
      </c>
      <c r="P2" t="s">
        <v>52</v>
      </c>
      <c r="Q2" t="s">
        <v>222</v>
      </c>
      <c r="R2" t="s">
        <v>135</v>
      </c>
      <c r="S2" t="s">
        <v>168</v>
      </c>
      <c r="T2" t="s">
        <v>126</v>
      </c>
      <c r="U2" t="s">
        <v>127</v>
      </c>
      <c r="V2" t="s">
        <v>128</v>
      </c>
      <c r="W2" t="s">
        <v>223</v>
      </c>
      <c r="X2" t="s">
        <v>224</v>
      </c>
      <c r="Y2" t="s">
        <v>128</v>
      </c>
      <c r="Z2" t="s">
        <v>225</v>
      </c>
      <c r="AA2" t="s">
        <v>226</v>
      </c>
    </row>
    <row r="3" spans="1:27">
      <c r="A3" t="s">
        <v>227</v>
      </c>
      <c r="B3" s="1">
        <v>41457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H3" t="s">
        <v>116</v>
      </c>
      <c r="I3" t="s">
        <v>228</v>
      </c>
      <c r="J3" t="s">
        <v>118</v>
      </c>
      <c r="K3" t="s">
        <v>119</v>
      </c>
      <c r="L3" t="s">
        <v>120</v>
      </c>
      <c r="M3" t="s">
        <v>121</v>
      </c>
      <c r="N3" t="s">
        <v>122</v>
      </c>
      <c r="P3" t="s">
        <v>52</v>
      </c>
      <c r="Q3" t="s">
        <v>229</v>
      </c>
      <c r="R3" t="s">
        <v>135</v>
      </c>
      <c r="S3" t="s">
        <v>143</v>
      </c>
      <c r="T3" t="s">
        <v>230</v>
      </c>
      <c r="U3" t="s">
        <v>127</v>
      </c>
      <c r="V3" t="s">
        <v>231</v>
      </c>
      <c r="W3" t="s">
        <v>232</v>
      </c>
      <c r="X3" t="s">
        <v>224</v>
      </c>
      <c r="Y3" t="s">
        <v>231</v>
      </c>
      <c r="Z3" t="s">
        <v>131</v>
      </c>
      <c r="AA3" t="s">
        <v>149</v>
      </c>
    </row>
    <row r="4" spans="1:27">
      <c r="A4" t="s">
        <v>233</v>
      </c>
      <c r="B4" s="1">
        <v>41457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H4" t="s">
        <v>116</v>
      </c>
      <c r="I4" t="s">
        <v>234</v>
      </c>
      <c r="J4" t="s">
        <v>118</v>
      </c>
      <c r="K4" t="s">
        <v>119</v>
      </c>
      <c r="L4" t="s">
        <v>120</v>
      </c>
      <c r="M4" t="s">
        <v>121</v>
      </c>
      <c r="N4" t="s">
        <v>122</v>
      </c>
      <c r="P4" t="s">
        <v>54</v>
      </c>
      <c r="Q4" t="s">
        <v>235</v>
      </c>
      <c r="R4" t="s">
        <v>135</v>
      </c>
      <c r="S4" t="s">
        <v>143</v>
      </c>
      <c r="T4" t="s">
        <v>236</v>
      </c>
      <c r="U4" t="s">
        <v>127</v>
      </c>
      <c r="V4" t="s">
        <v>170</v>
      </c>
      <c r="W4" t="s">
        <v>237</v>
      </c>
      <c r="X4" t="s">
        <v>224</v>
      </c>
      <c r="Y4" t="s">
        <v>170</v>
      </c>
      <c r="Z4" t="s">
        <v>148</v>
      </c>
      <c r="AA4" t="s">
        <v>138</v>
      </c>
    </row>
    <row r="5" spans="1:27">
      <c r="A5" t="s">
        <v>238</v>
      </c>
      <c r="B5" s="1">
        <v>41457</v>
      </c>
      <c r="C5" t="s">
        <v>111</v>
      </c>
      <c r="D5" t="s">
        <v>112</v>
      </c>
      <c r="E5" t="s">
        <v>113</v>
      </c>
      <c r="F5" t="s">
        <v>114</v>
      </c>
      <c r="G5" t="s">
        <v>115</v>
      </c>
      <c r="H5" t="s">
        <v>116</v>
      </c>
      <c r="I5" t="s">
        <v>239</v>
      </c>
      <c r="J5" t="s">
        <v>118</v>
      </c>
      <c r="K5" t="s">
        <v>119</v>
      </c>
      <c r="L5" t="s">
        <v>120</v>
      </c>
      <c r="M5" t="s">
        <v>121</v>
      </c>
      <c r="N5" t="s">
        <v>122</v>
      </c>
      <c r="P5" t="s">
        <v>53</v>
      </c>
      <c r="Q5" t="s">
        <v>240</v>
      </c>
      <c r="R5" t="s">
        <v>135</v>
      </c>
      <c r="S5" t="s">
        <v>143</v>
      </c>
      <c r="T5" t="s">
        <v>241</v>
      </c>
      <c r="U5" t="s">
        <v>127</v>
      </c>
      <c r="V5" t="s">
        <v>128</v>
      </c>
      <c r="W5" t="s">
        <v>242</v>
      </c>
      <c r="X5" t="s">
        <v>224</v>
      </c>
      <c r="Y5" t="s">
        <v>128</v>
      </c>
      <c r="Z5" t="s">
        <v>131</v>
      </c>
      <c r="AA5" t="s">
        <v>243</v>
      </c>
    </row>
    <row r="6" spans="1:27">
      <c r="A6" t="s">
        <v>244</v>
      </c>
      <c r="B6" s="1">
        <v>41457</v>
      </c>
      <c r="C6" t="s">
        <v>111</v>
      </c>
      <c r="D6" t="s">
        <v>112</v>
      </c>
      <c r="E6" t="s">
        <v>113</v>
      </c>
      <c r="F6" t="s">
        <v>114</v>
      </c>
      <c r="G6" t="s">
        <v>115</v>
      </c>
      <c r="H6" t="s">
        <v>116</v>
      </c>
      <c r="I6" t="s">
        <v>245</v>
      </c>
      <c r="J6" t="s">
        <v>118</v>
      </c>
      <c r="K6" t="s">
        <v>119</v>
      </c>
      <c r="L6" t="s">
        <v>120</v>
      </c>
      <c r="M6" t="s">
        <v>121</v>
      </c>
      <c r="N6" t="s">
        <v>122</v>
      </c>
      <c r="P6" t="s">
        <v>52</v>
      </c>
      <c r="Q6" t="s">
        <v>246</v>
      </c>
      <c r="R6" t="s">
        <v>247</v>
      </c>
      <c r="S6" t="s">
        <v>248</v>
      </c>
      <c r="T6" t="s">
        <v>249</v>
      </c>
      <c r="U6" t="s">
        <v>127</v>
      </c>
      <c r="V6" t="s">
        <v>128</v>
      </c>
      <c r="W6" t="s">
        <v>250</v>
      </c>
      <c r="X6" t="s">
        <v>224</v>
      </c>
      <c r="Y6" t="s">
        <v>128</v>
      </c>
      <c r="Z6" t="s">
        <v>251</v>
      </c>
      <c r="AA6" t="s">
        <v>219</v>
      </c>
    </row>
    <row r="7" spans="1:27">
      <c r="A7" t="s">
        <v>252</v>
      </c>
      <c r="B7" s="1">
        <v>41457</v>
      </c>
      <c r="C7" t="s">
        <v>111</v>
      </c>
      <c r="D7" t="s">
        <v>112</v>
      </c>
      <c r="E7" t="s">
        <v>113</v>
      </c>
      <c r="F7" t="s">
        <v>114</v>
      </c>
      <c r="G7" t="s">
        <v>115</v>
      </c>
      <c r="H7" t="s">
        <v>116</v>
      </c>
      <c r="I7" t="s">
        <v>253</v>
      </c>
      <c r="J7" t="s">
        <v>118</v>
      </c>
      <c r="K7" t="s">
        <v>119</v>
      </c>
      <c r="L7" t="s">
        <v>120</v>
      </c>
      <c r="M7" t="s">
        <v>121</v>
      </c>
      <c r="N7" t="s">
        <v>122</v>
      </c>
      <c r="P7" t="s">
        <v>52</v>
      </c>
      <c r="Q7" t="s">
        <v>123</v>
      </c>
      <c r="R7" t="s">
        <v>135</v>
      </c>
      <c r="S7" t="s">
        <v>168</v>
      </c>
      <c r="T7" t="s">
        <v>126</v>
      </c>
      <c r="U7" t="s">
        <v>127</v>
      </c>
      <c r="V7" t="s">
        <v>128</v>
      </c>
      <c r="W7" t="s">
        <v>223</v>
      </c>
      <c r="X7" t="s">
        <v>224</v>
      </c>
      <c r="Y7" t="s">
        <v>128</v>
      </c>
      <c r="Z7" t="s">
        <v>189</v>
      </c>
      <c r="AA7" t="s">
        <v>226</v>
      </c>
    </row>
    <row r="8" spans="1:27">
      <c r="A8" t="s">
        <v>254</v>
      </c>
      <c r="B8" s="1">
        <v>41457</v>
      </c>
      <c r="C8" t="s">
        <v>111</v>
      </c>
      <c r="D8" t="s">
        <v>112</v>
      </c>
      <c r="E8" t="s">
        <v>113</v>
      </c>
      <c r="F8" t="s">
        <v>114</v>
      </c>
      <c r="G8" t="s">
        <v>115</v>
      </c>
      <c r="H8" t="s">
        <v>116</v>
      </c>
      <c r="I8" t="s">
        <v>255</v>
      </c>
      <c r="J8" t="s">
        <v>118</v>
      </c>
      <c r="K8" t="s">
        <v>119</v>
      </c>
      <c r="L8" t="s">
        <v>120</v>
      </c>
      <c r="M8" t="s">
        <v>121</v>
      </c>
      <c r="N8" t="s">
        <v>122</v>
      </c>
      <c r="P8" t="s">
        <v>53</v>
      </c>
      <c r="Q8" t="s">
        <v>214</v>
      </c>
      <c r="R8" t="s">
        <v>256</v>
      </c>
      <c r="S8" t="s">
        <v>215</v>
      </c>
      <c r="T8" t="s">
        <v>216</v>
      </c>
      <c r="U8" t="s">
        <v>127</v>
      </c>
      <c r="V8" t="s">
        <v>128</v>
      </c>
      <c r="W8" t="s">
        <v>217</v>
      </c>
      <c r="X8" t="s">
        <v>182</v>
      </c>
      <c r="Y8" t="s">
        <v>128</v>
      </c>
      <c r="Z8" t="s">
        <v>218</v>
      </c>
      <c r="AA8" t="s">
        <v>219</v>
      </c>
    </row>
    <row r="9" spans="1:27">
      <c r="A9" t="s">
        <v>257</v>
      </c>
      <c r="B9" s="1">
        <v>41457</v>
      </c>
      <c r="C9" t="s">
        <v>111</v>
      </c>
      <c r="D9" t="s">
        <v>112</v>
      </c>
      <c r="E9" t="s">
        <v>113</v>
      </c>
      <c r="F9" t="s">
        <v>114</v>
      </c>
      <c r="G9" t="s">
        <v>115</v>
      </c>
      <c r="I9" t="s">
        <v>258</v>
      </c>
      <c r="J9" t="s">
        <v>118</v>
      </c>
      <c r="K9" t="s">
        <v>119</v>
      </c>
      <c r="L9" t="s">
        <v>120</v>
      </c>
      <c r="M9" t="s">
        <v>121</v>
      </c>
      <c r="N9" t="s">
        <v>199</v>
      </c>
      <c r="O9" t="s">
        <v>10</v>
      </c>
      <c r="P9" t="s">
        <v>52</v>
      </c>
      <c r="Q9" t="s">
        <v>123</v>
      </c>
      <c r="S9" t="s">
        <v>200</v>
      </c>
      <c r="T9" t="s">
        <v>259</v>
      </c>
      <c r="W9" t="s">
        <v>129</v>
      </c>
      <c r="X9" t="s">
        <v>224</v>
      </c>
      <c r="Z9" t="s">
        <v>137</v>
      </c>
      <c r="AA9" t="s">
        <v>132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6"/>
  <dimension ref="A1:AA2"/>
  <sheetViews>
    <sheetView workbookViewId="0">
      <selection activeCell="I2" sqref="I2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257</v>
      </c>
      <c r="B2" s="1">
        <v>41457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I2" t="s">
        <v>258</v>
      </c>
      <c r="J2" t="s">
        <v>118</v>
      </c>
      <c r="K2" t="s">
        <v>119</v>
      </c>
      <c r="L2" t="s">
        <v>120</v>
      </c>
      <c r="M2" t="s">
        <v>121</v>
      </c>
      <c r="N2" t="s">
        <v>199</v>
      </c>
      <c r="O2" t="s">
        <v>10</v>
      </c>
      <c r="P2" t="s">
        <v>52</v>
      </c>
      <c r="Q2" t="s">
        <v>123</v>
      </c>
      <c r="S2" t="s">
        <v>200</v>
      </c>
      <c r="T2" t="s">
        <v>259</v>
      </c>
      <c r="W2" t="s">
        <v>129</v>
      </c>
      <c r="X2" t="s">
        <v>224</v>
      </c>
      <c r="Z2" t="s">
        <v>137</v>
      </c>
      <c r="AA2" t="s">
        <v>132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7"/>
  <dimension ref="A1:AA15"/>
  <sheetViews>
    <sheetView workbookViewId="0">
      <selection activeCell="I2" sqref="I2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212</v>
      </c>
      <c r="B2" s="1">
        <v>41458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H2" t="s">
        <v>116</v>
      </c>
      <c r="I2" t="s">
        <v>213</v>
      </c>
      <c r="J2" t="s">
        <v>118</v>
      </c>
      <c r="K2" t="s">
        <v>119</v>
      </c>
      <c r="L2" t="s">
        <v>120</v>
      </c>
      <c r="M2" t="s">
        <v>121</v>
      </c>
      <c r="N2" t="s">
        <v>122</v>
      </c>
      <c r="P2" t="s">
        <v>53</v>
      </c>
      <c r="Q2" t="s">
        <v>214</v>
      </c>
      <c r="R2" t="s">
        <v>135</v>
      </c>
      <c r="S2" t="s">
        <v>215</v>
      </c>
      <c r="T2" t="s">
        <v>216</v>
      </c>
      <c r="U2" t="s">
        <v>127</v>
      </c>
      <c r="V2" t="s">
        <v>128</v>
      </c>
      <c r="W2" t="s">
        <v>260</v>
      </c>
      <c r="X2" t="s">
        <v>182</v>
      </c>
      <c r="Y2" t="s">
        <v>128</v>
      </c>
      <c r="Z2" t="s">
        <v>218</v>
      </c>
      <c r="AA2" t="s">
        <v>138</v>
      </c>
    </row>
    <row r="3" spans="1:27">
      <c r="A3" t="s">
        <v>261</v>
      </c>
      <c r="B3" s="1">
        <v>41458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H3" t="s">
        <v>116</v>
      </c>
      <c r="I3" t="s">
        <v>262</v>
      </c>
      <c r="J3" t="s">
        <v>118</v>
      </c>
      <c r="K3" t="s">
        <v>119</v>
      </c>
      <c r="L3" t="s">
        <v>120</v>
      </c>
      <c r="M3" t="s">
        <v>121</v>
      </c>
      <c r="N3" t="s">
        <v>122</v>
      </c>
      <c r="P3" t="s">
        <v>53</v>
      </c>
      <c r="Q3" t="s">
        <v>263</v>
      </c>
      <c r="R3" t="s">
        <v>135</v>
      </c>
      <c r="S3" t="s">
        <v>264</v>
      </c>
      <c r="T3" t="s">
        <v>265</v>
      </c>
      <c r="U3" t="s">
        <v>127</v>
      </c>
      <c r="V3" t="s">
        <v>128</v>
      </c>
      <c r="W3" t="s">
        <v>266</v>
      </c>
      <c r="X3" t="s">
        <v>267</v>
      </c>
      <c r="Y3" t="s">
        <v>128</v>
      </c>
      <c r="Z3" t="s">
        <v>218</v>
      </c>
      <c r="AA3" t="s">
        <v>268</v>
      </c>
    </row>
    <row r="4" spans="1:27">
      <c r="A4" t="s">
        <v>269</v>
      </c>
      <c r="B4" s="1">
        <v>41458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H4" t="s">
        <v>116</v>
      </c>
      <c r="I4" t="s">
        <v>270</v>
      </c>
      <c r="J4" t="s">
        <v>118</v>
      </c>
      <c r="K4" t="s">
        <v>119</v>
      </c>
      <c r="L4" t="s">
        <v>120</v>
      </c>
      <c r="M4" t="s">
        <v>121</v>
      </c>
      <c r="N4" t="s">
        <v>122</v>
      </c>
      <c r="P4" t="s">
        <v>53</v>
      </c>
      <c r="Q4" t="s">
        <v>271</v>
      </c>
      <c r="R4" t="s">
        <v>135</v>
      </c>
      <c r="S4" t="s">
        <v>143</v>
      </c>
      <c r="T4" t="s">
        <v>272</v>
      </c>
      <c r="U4" t="s">
        <v>127</v>
      </c>
      <c r="V4" t="s">
        <v>128</v>
      </c>
      <c r="W4" t="s">
        <v>273</v>
      </c>
      <c r="X4" t="s">
        <v>267</v>
      </c>
      <c r="Y4" t="s">
        <v>128</v>
      </c>
      <c r="Z4" t="s">
        <v>274</v>
      </c>
      <c r="AA4" t="s">
        <v>138</v>
      </c>
    </row>
    <row r="5" spans="1:27">
      <c r="A5" t="s">
        <v>275</v>
      </c>
      <c r="B5" s="1">
        <v>41458</v>
      </c>
      <c r="C5" t="s">
        <v>111</v>
      </c>
      <c r="D5" t="s">
        <v>112</v>
      </c>
      <c r="E5" t="s">
        <v>113</v>
      </c>
      <c r="F5" t="s">
        <v>114</v>
      </c>
      <c r="G5" t="s">
        <v>115</v>
      </c>
      <c r="H5" t="s">
        <v>116</v>
      </c>
      <c r="I5" t="s">
        <v>276</v>
      </c>
      <c r="J5" t="s">
        <v>118</v>
      </c>
      <c r="K5" t="s">
        <v>119</v>
      </c>
      <c r="L5" t="s">
        <v>120</v>
      </c>
      <c r="M5" t="s">
        <v>121</v>
      </c>
      <c r="N5" t="s">
        <v>122</v>
      </c>
      <c r="P5" t="s">
        <v>53</v>
      </c>
      <c r="Q5" t="s">
        <v>277</v>
      </c>
      <c r="R5" t="s">
        <v>278</v>
      </c>
      <c r="S5" t="s">
        <v>143</v>
      </c>
      <c r="T5" t="s">
        <v>279</v>
      </c>
      <c r="U5" t="s">
        <v>155</v>
      </c>
      <c r="W5" t="s">
        <v>280</v>
      </c>
      <c r="X5" t="s">
        <v>267</v>
      </c>
      <c r="Y5" t="s">
        <v>128</v>
      </c>
      <c r="Z5" t="s">
        <v>281</v>
      </c>
      <c r="AA5" t="s">
        <v>243</v>
      </c>
    </row>
    <row r="6" spans="1:27">
      <c r="A6" t="s">
        <v>282</v>
      </c>
      <c r="B6" s="1">
        <v>41458</v>
      </c>
      <c r="C6" t="s">
        <v>111</v>
      </c>
      <c r="D6" t="s">
        <v>112</v>
      </c>
      <c r="E6" t="s">
        <v>113</v>
      </c>
      <c r="F6" t="s">
        <v>114</v>
      </c>
      <c r="G6" t="s">
        <v>115</v>
      </c>
      <c r="H6" t="s">
        <v>116</v>
      </c>
      <c r="I6" t="s">
        <v>283</v>
      </c>
      <c r="J6" t="s">
        <v>118</v>
      </c>
      <c r="K6" t="s">
        <v>119</v>
      </c>
      <c r="L6" t="s">
        <v>120</v>
      </c>
      <c r="M6" t="s">
        <v>121</v>
      </c>
      <c r="N6" t="s">
        <v>122</v>
      </c>
      <c r="P6" t="s">
        <v>53</v>
      </c>
      <c r="Q6" t="s">
        <v>284</v>
      </c>
      <c r="R6" t="s">
        <v>135</v>
      </c>
      <c r="S6" t="s">
        <v>143</v>
      </c>
      <c r="T6" t="s">
        <v>285</v>
      </c>
      <c r="U6" t="s">
        <v>286</v>
      </c>
      <c r="V6" t="s">
        <v>128</v>
      </c>
      <c r="W6" t="s">
        <v>280</v>
      </c>
      <c r="X6" t="s">
        <v>172</v>
      </c>
      <c r="Y6" t="s">
        <v>128</v>
      </c>
      <c r="Z6" t="s">
        <v>202</v>
      </c>
      <c r="AA6" t="s">
        <v>243</v>
      </c>
    </row>
    <row r="7" spans="1:27">
      <c r="A7" t="s">
        <v>287</v>
      </c>
      <c r="B7" s="1">
        <v>41458</v>
      </c>
      <c r="C7" t="s">
        <v>111</v>
      </c>
      <c r="D7" t="s">
        <v>112</v>
      </c>
      <c r="E7" t="s">
        <v>113</v>
      </c>
      <c r="F7" t="s">
        <v>114</v>
      </c>
      <c r="G7" t="s">
        <v>115</v>
      </c>
      <c r="H7" t="s">
        <v>116</v>
      </c>
      <c r="I7" t="s">
        <v>288</v>
      </c>
      <c r="J7" t="s">
        <v>118</v>
      </c>
      <c r="K7" t="s">
        <v>119</v>
      </c>
      <c r="L7" t="s">
        <v>120</v>
      </c>
      <c r="M7" t="s">
        <v>121</v>
      </c>
      <c r="N7" t="s">
        <v>122</v>
      </c>
      <c r="P7" t="s">
        <v>53</v>
      </c>
      <c r="Q7" t="s">
        <v>229</v>
      </c>
      <c r="R7" t="s">
        <v>289</v>
      </c>
      <c r="S7" t="s">
        <v>264</v>
      </c>
      <c r="T7" t="s">
        <v>290</v>
      </c>
      <c r="U7" t="s">
        <v>127</v>
      </c>
      <c r="V7" t="s">
        <v>161</v>
      </c>
      <c r="W7" t="s">
        <v>291</v>
      </c>
      <c r="X7" t="s">
        <v>267</v>
      </c>
      <c r="Y7" t="s">
        <v>161</v>
      </c>
      <c r="Z7" t="s">
        <v>292</v>
      </c>
      <c r="AA7" t="s">
        <v>268</v>
      </c>
    </row>
    <row r="8" spans="1:27">
      <c r="A8" t="s">
        <v>293</v>
      </c>
      <c r="B8" s="1">
        <v>41458</v>
      </c>
      <c r="C8" t="s">
        <v>111</v>
      </c>
      <c r="D8" t="s">
        <v>112</v>
      </c>
      <c r="E8" t="s">
        <v>113</v>
      </c>
      <c r="F8" t="s">
        <v>114</v>
      </c>
      <c r="G8" t="s">
        <v>115</v>
      </c>
      <c r="H8" t="s">
        <v>116</v>
      </c>
      <c r="I8" t="s">
        <v>294</v>
      </c>
      <c r="J8" t="s">
        <v>118</v>
      </c>
      <c r="K8" t="s">
        <v>119</v>
      </c>
      <c r="L8" t="s">
        <v>120</v>
      </c>
      <c r="M8" t="s">
        <v>121</v>
      </c>
      <c r="N8" t="s">
        <v>122</v>
      </c>
      <c r="P8" t="s">
        <v>52</v>
      </c>
      <c r="Q8" t="s">
        <v>123</v>
      </c>
      <c r="R8" t="s">
        <v>135</v>
      </c>
      <c r="S8" t="s">
        <v>295</v>
      </c>
      <c r="T8" t="s">
        <v>296</v>
      </c>
      <c r="U8" t="s">
        <v>127</v>
      </c>
      <c r="V8" t="s">
        <v>128</v>
      </c>
      <c r="W8" t="s">
        <v>297</v>
      </c>
      <c r="X8" t="s">
        <v>224</v>
      </c>
      <c r="Y8" t="s">
        <v>128</v>
      </c>
      <c r="Z8" t="s">
        <v>152</v>
      </c>
      <c r="AA8" t="s">
        <v>138</v>
      </c>
    </row>
    <row r="9" spans="1:27">
      <c r="A9" t="s">
        <v>298</v>
      </c>
      <c r="B9" s="1">
        <v>41458</v>
      </c>
      <c r="C9" t="s">
        <v>111</v>
      </c>
      <c r="D9" t="s">
        <v>112</v>
      </c>
      <c r="E9" t="s">
        <v>113</v>
      </c>
      <c r="F9" t="s">
        <v>114</v>
      </c>
      <c r="G9" t="s">
        <v>115</v>
      </c>
      <c r="I9" t="s">
        <v>206</v>
      </c>
      <c r="J9" t="s">
        <v>118</v>
      </c>
      <c r="K9" t="s">
        <v>119</v>
      </c>
      <c r="L9" t="s">
        <v>120</v>
      </c>
      <c r="M9" t="s">
        <v>121</v>
      </c>
      <c r="N9" t="s">
        <v>199</v>
      </c>
      <c r="O9" t="s">
        <v>63</v>
      </c>
      <c r="P9" t="s">
        <v>52</v>
      </c>
      <c r="Q9" t="s">
        <v>123</v>
      </c>
      <c r="S9" t="s">
        <v>200</v>
      </c>
      <c r="T9" t="s">
        <v>207</v>
      </c>
      <c r="W9" t="s">
        <v>299</v>
      </c>
      <c r="X9" t="s">
        <v>182</v>
      </c>
      <c r="Z9" t="s">
        <v>196</v>
      </c>
      <c r="AA9" t="s">
        <v>209</v>
      </c>
    </row>
    <row r="10" spans="1:27">
      <c r="A10" t="s">
        <v>300</v>
      </c>
      <c r="B10" s="1">
        <v>41458</v>
      </c>
      <c r="C10" t="s">
        <v>111</v>
      </c>
      <c r="D10" t="s">
        <v>112</v>
      </c>
      <c r="E10" t="s">
        <v>113</v>
      </c>
      <c r="F10" t="s">
        <v>114</v>
      </c>
      <c r="G10" t="s">
        <v>115</v>
      </c>
      <c r="I10" t="s">
        <v>301</v>
      </c>
      <c r="J10" t="s">
        <v>118</v>
      </c>
      <c r="K10" t="s">
        <v>119</v>
      </c>
      <c r="L10" t="s">
        <v>120</v>
      </c>
      <c r="M10" t="s">
        <v>121</v>
      </c>
      <c r="N10" t="s">
        <v>199</v>
      </c>
      <c r="O10" t="s">
        <v>63</v>
      </c>
      <c r="P10" t="s">
        <v>53</v>
      </c>
      <c r="Q10" t="s">
        <v>277</v>
      </c>
      <c r="S10" t="s">
        <v>295</v>
      </c>
      <c r="T10" t="s">
        <v>272</v>
      </c>
      <c r="W10" t="s">
        <v>302</v>
      </c>
      <c r="X10" t="s">
        <v>182</v>
      </c>
      <c r="Z10" t="s">
        <v>303</v>
      </c>
      <c r="AA10" t="s">
        <v>304</v>
      </c>
    </row>
    <row r="11" spans="1:27">
      <c r="A11" t="s">
        <v>305</v>
      </c>
      <c r="B11" s="1">
        <v>41458</v>
      </c>
      <c r="C11" t="s">
        <v>111</v>
      </c>
      <c r="D11" t="s">
        <v>112</v>
      </c>
      <c r="E11" t="s">
        <v>113</v>
      </c>
      <c r="F11" t="s">
        <v>114</v>
      </c>
      <c r="G11" t="s">
        <v>115</v>
      </c>
      <c r="I11" t="s">
        <v>192</v>
      </c>
      <c r="J11" t="s">
        <v>118</v>
      </c>
      <c r="K11" t="s">
        <v>119</v>
      </c>
      <c r="L11" t="s">
        <v>120</v>
      </c>
      <c r="M11" t="s">
        <v>121</v>
      </c>
      <c r="N11" t="s">
        <v>199</v>
      </c>
      <c r="O11" t="s">
        <v>1</v>
      </c>
      <c r="P11" t="s">
        <v>52</v>
      </c>
      <c r="Q11" t="s">
        <v>306</v>
      </c>
      <c r="S11" t="s">
        <v>143</v>
      </c>
      <c r="T11" t="s">
        <v>272</v>
      </c>
      <c r="W11" t="s">
        <v>194</v>
      </c>
      <c r="X11" t="s">
        <v>224</v>
      </c>
      <c r="Z11" t="s">
        <v>196</v>
      </c>
      <c r="AA11" t="s">
        <v>138</v>
      </c>
    </row>
    <row r="12" spans="1:27">
      <c r="A12" t="s">
        <v>307</v>
      </c>
      <c r="B12" s="1">
        <v>41458</v>
      </c>
      <c r="C12" t="s">
        <v>111</v>
      </c>
      <c r="D12" t="s">
        <v>112</v>
      </c>
      <c r="E12" t="s">
        <v>113</v>
      </c>
      <c r="F12" t="s">
        <v>114</v>
      </c>
      <c r="G12" t="s">
        <v>115</v>
      </c>
      <c r="I12" t="s">
        <v>308</v>
      </c>
      <c r="J12" t="s">
        <v>118</v>
      </c>
      <c r="K12" t="s">
        <v>119</v>
      </c>
      <c r="L12" t="s">
        <v>120</v>
      </c>
      <c r="M12" t="s">
        <v>121</v>
      </c>
      <c r="N12" t="s">
        <v>199</v>
      </c>
      <c r="O12" t="s">
        <v>63</v>
      </c>
      <c r="P12" t="s">
        <v>52</v>
      </c>
      <c r="Q12" t="s">
        <v>309</v>
      </c>
      <c r="S12" t="s">
        <v>143</v>
      </c>
      <c r="T12" t="s">
        <v>272</v>
      </c>
      <c r="W12" t="s">
        <v>310</v>
      </c>
      <c r="X12" t="s">
        <v>267</v>
      </c>
      <c r="Z12" t="s">
        <v>292</v>
      </c>
      <c r="AA12" t="s">
        <v>138</v>
      </c>
    </row>
    <row r="13" spans="1:27">
      <c r="A13" t="s">
        <v>311</v>
      </c>
      <c r="B13" s="1">
        <v>41458</v>
      </c>
      <c r="C13" t="s">
        <v>111</v>
      </c>
      <c r="D13" t="s">
        <v>112</v>
      </c>
      <c r="E13" t="s">
        <v>113</v>
      </c>
      <c r="F13" t="s">
        <v>114</v>
      </c>
      <c r="G13" t="s">
        <v>115</v>
      </c>
      <c r="I13" t="s">
        <v>312</v>
      </c>
      <c r="J13" t="s">
        <v>118</v>
      </c>
      <c r="K13" t="s">
        <v>119</v>
      </c>
      <c r="L13" t="s">
        <v>120</v>
      </c>
      <c r="M13" t="s">
        <v>121</v>
      </c>
      <c r="N13" t="s">
        <v>199</v>
      </c>
      <c r="O13" t="s">
        <v>3</v>
      </c>
      <c r="P13" t="s">
        <v>52</v>
      </c>
      <c r="Q13" t="s">
        <v>123</v>
      </c>
      <c r="S13" t="s">
        <v>143</v>
      </c>
      <c r="T13" t="s">
        <v>313</v>
      </c>
      <c r="W13" t="s">
        <v>314</v>
      </c>
      <c r="X13" t="s">
        <v>267</v>
      </c>
      <c r="Z13" t="s">
        <v>173</v>
      </c>
      <c r="AA13" t="s">
        <v>138</v>
      </c>
    </row>
    <row r="14" spans="1:27">
      <c r="A14" t="s">
        <v>316</v>
      </c>
      <c r="B14" s="1">
        <v>41458</v>
      </c>
      <c r="C14" t="s">
        <v>111</v>
      </c>
      <c r="D14" t="s">
        <v>112</v>
      </c>
      <c r="E14" t="s">
        <v>113</v>
      </c>
      <c r="F14" t="s">
        <v>114</v>
      </c>
      <c r="G14" t="s">
        <v>115</v>
      </c>
      <c r="I14" t="s">
        <v>317</v>
      </c>
      <c r="J14" t="s">
        <v>118</v>
      </c>
      <c r="K14" t="s">
        <v>119</v>
      </c>
      <c r="L14" t="s">
        <v>120</v>
      </c>
      <c r="M14" t="s">
        <v>121</v>
      </c>
      <c r="N14" t="s">
        <v>199</v>
      </c>
      <c r="O14" t="s">
        <v>7</v>
      </c>
      <c r="P14" t="s">
        <v>52</v>
      </c>
      <c r="Q14" t="s">
        <v>318</v>
      </c>
      <c r="S14" t="s">
        <v>143</v>
      </c>
      <c r="T14" t="s">
        <v>319</v>
      </c>
      <c r="W14" t="s">
        <v>320</v>
      </c>
      <c r="X14" t="s">
        <v>267</v>
      </c>
      <c r="Z14" t="s">
        <v>321</v>
      </c>
      <c r="AA14" t="s">
        <v>138</v>
      </c>
    </row>
    <row r="15" spans="1:27">
      <c r="A15" t="s">
        <v>322</v>
      </c>
      <c r="B15" s="1">
        <v>41458</v>
      </c>
      <c r="C15" t="s">
        <v>111</v>
      </c>
      <c r="D15" t="s">
        <v>112</v>
      </c>
      <c r="E15" t="s">
        <v>113</v>
      </c>
      <c r="F15" t="s">
        <v>114</v>
      </c>
      <c r="G15" t="s">
        <v>115</v>
      </c>
      <c r="I15" t="s">
        <v>323</v>
      </c>
      <c r="J15" t="s">
        <v>118</v>
      </c>
      <c r="K15" t="s">
        <v>119</v>
      </c>
      <c r="L15" t="s">
        <v>120</v>
      </c>
      <c r="M15" t="s">
        <v>121</v>
      </c>
      <c r="N15" t="s">
        <v>199</v>
      </c>
      <c r="O15" t="s">
        <v>6</v>
      </c>
      <c r="P15" t="s">
        <v>54</v>
      </c>
      <c r="Q15" t="s">
        <v>211</v>
      </c>
      <c r="S15" t="s">
        <v>200</v>
      </c>
      <c r="T15" t="s">
        <v>324</v>
      </c>
      <c r="W15" t="s">
        <v>325</v>
      </c>
      <c r="X15" t="s">
        <v>326</v>
      </c>
      <c r="Z15" t="s">
        <v>274</v>
      </c>
      <c r="AA15" t="s">
        <v>327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8"/>
  <dimension ref="A1:AA8"/>
  <sheetViews>
    <sheetView workbookViewId="0">
      <selection activeCell="I2" sqref="I2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305</v>
      </c>
      <c r="B2" s="1">
        <v>41458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I2" t="s">
        <v>192</v>
      </c>
      <c r="J2" t="s">
        <v>118</v>
      </c>
      <c r="K2" t="s">
        <v>119</v>
      </c>
      <c r="L2" t="s">
        <v>120</v>
      </c>
      <c r="M2" t="s">
        <v>121</v>
      </c>
      <c r="N2" t="s">
        <v>199</v>
      </c>
      <c r="O2" t="s">
        <v>1</v>
      </c>
      <c r="P2" t="s">
        <v>52</v>
      </c>
      <c r="Q2" t="s">
        <v>306</v>
      </c>
      <c r="S2" t="s">
        <v>143</v>
      </c>
      <c r="T2" t="s">
        <v>272</v>
      </c>
      <c r="W2" t="s">
        <v>194</v>
      </c>
      <c r="X2" t="s">
        <v>224</v>
      </c>
      <c r="Z2" t="s">
        <v>196</v>
      </c>
      <c r="AA2" t="s">
        <v>138</v>
      </c>
    </row>
    <row r="3" spans="1:27">
      <c r="A3" t="s">
        <v>298</v>
      </c>
      <c r="B3" s="1">
        <v>41458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I3" t="s">
        <v>206</v>
      </c>
      <c r="J3" t="s">
        <v>118</v>
      </c>
      <c r="K3" t="s">
        <v>119</v>
      </c>
      <c r="L3" t="s">
        <v>120</v>
      </c>
      <c r="M3" t="s">
        <v>121</v>
      </c>
      <c r="N3" t="s">
        <v>199</v>
      </c>
      <c r="O3" t="s">
        <v>63</v>
      </c>
      <c r="P3" t="s">
        <v>52</v>
      </c>
      <c r="Q3" t="s">
        <v>123</v>
      </c>
      <c r="S3" t="s">
        <v>200</v>
      </c>
      <c r="T3" t="s">
        <v>207</v>
      </c>
      <c r="W3" t="s">
        <v>299</v>
      </c>
      <c r="X3" t="s">
        <v>182</v>
      </c>
      <c r="Z3" t="s">
        <v>196</v>
      </c>
      <c r="AA3" t="s">
        <v>209</v>
      </c>
    </row>
    <row r="4" spans="1:27">
      <c r="A4" t="s">
        <v>300</v>
      </c>
      <c r="B4" s="1">
        <v>41458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I4" t="s">
        <v>301</v>
      </c>
      <c r="J4" t="s">
        <v>118</v>
      </c>
      <c r="K4" t="s">
        <v>119</v>
      </c>
      <c r="L4" t="s">
        <v>120</v>
      </c>
      <c r="M4" t="s">
        <v>121</v>
      </c>
      <c r="N4" t="s">
        <v>199</v>
      </c>
      <c r="O4" t="s">
        <v>63</v>
      </c>
      <c r="P4" t="s">
        <v>53</v>
      </c>
      <c r="Q4" t="s">
        <v>277</v>
      </c>
      <c r="S4" t="s">
        <v>295</v>
      </c>
      <c r="T4" t="s">
        <v>272</v>
      </c>
      <c r="W4" t="s">
        <v>302</v>
      </c>
      <c r="X4" t="s">
        <v>182</v>
      </c>
      <c r="Z4" t="s">
        <v>303</v>
      </c>
      <c r="AA4" t="s">
        <v>304</v>
      </c>
    </row>
    <row r="5" spans="1:27">
      <c r="A5" t="s">
        <v>307</v>
      </c>
      <c r="B5" s="1">
        <v>41458</v>
      </c>
      <c r="C5" t="s">
        <v>111</v>
      </c>
      <c r="D5" t="s">
        <v>112</v>
      </c>
      <c r="E5" t="s">
        <v>113</v>
      </c>
      <c r="F5" t="s">
        <v>114</v>
      </c>
      <c r="G5" t="s">
        <v>115</v>
      </c>
      <c r="I5" t="s">
        <v>308</v>
      </c>
      <c r="J5" t="s">
        <v>118</v>
      </c>
      <c r="K5" t="s">
        <v>119</v>
      </c>
      <c r="L5" t="s">
        <v>120</v>
      </c>
      <c r="M5" t="s">
        <v>121</v>
      </c>
      <c r="N5" t="s">
        <v>199</v>
      </c>
      <c r="O5" t="s">
        <v>63</v>
      </c>
      <c r="P5" t="s">
        <v>52</v>
      </c>
      <c r="Q5" t="s">
        <v>309</v>
      </c>
      <c r="S5" t="s">
        <v>143</v>
      </c>
      <c r="T5" t="s">
        <v>272</v>
      </c>
      <c r="W5" t="s">
        <v>310</v>
      </c>
      <c r="X5" t="s">
        <v>267</v>
      </c>
      <c r="Z5" t="s">
        <v>292</v>
      </c>
      <c r="AA5" t="s">
        <v>138</v>
      </c>
    </row>
    <row r="6" spans="1:27">
      <c r="A6" t="s">
        <v>311</v>
      </c>
      <c r="B6" s="1">
        <v>41458</v>
      </c>
      <c r="C6" t="s">
        <v>111</v>
      </c>
      <c r="D6" t="s">
        <v>112</v>
      </c>
      <c r="E6" t="s">
        <v>113</v>
      </c>
      <c r="F6" t="s">
        <v>114</v>
      </c>
      <c r="G6" t="s">
        <v>115</v>
      </c>
      <c r="I6" t="s">
        <v>312</v>
      </c>
      <c r="J6" t="s">
        <v>118</v>
      </c>
      <c r="K6" t="s">
        <v>119</v>
      </c>
      <c r="L6" t="s">
        <v>120</v>
      </c>
      <c r="M6" t="s">
        <v>121</v>
      </c>
      <c r="N6" t="s">
        <v>199</v>
      </c>
      <c r="O6" t="s">
        <v>3</v>
      </c>
      <c r="P6" t="s">
        <v>52</v>
      </c>
      <c r="Q6" t="s">
        <v>123</v>
      </c>
      <c r="S6" t="s">
        <v>143</v>
      </c>
      <c r="T6" t="s">
        <v>313</v>
      </c>
      <c r="W6" t="s">
        <v>314</v>
      </c>
      <c r="X6" t="s">
        <v>267</v>
      </c>
      <c r="Z6" t="s">
        <v>173</v>
      </c>
      <c r="AA6" t="s">
        <v>138</v>
      </c>
    </row>
    <row r="7" spans="1:27">
      <c r="A7" t="s">
        <v>322</v>
      </c>
      <c r="B7" s="1">
        <v>41458</v>
      </c>
      <c r="C7" t="s">
        <v>111</v>
      </c>
      <c r="D7" t="s">
        <v>112</v>
      </c>
      <c r="E7" t="s">
        <v>113</v>
      </c>
      <c r="F7" t="s">
        <v>114</v>
      </c>
      <c r="G7" t="s">
        <v>115</v>
      </c>
      <c r="I7" t="s">
        <v>323</v>
      </c>
      <c r="J7" t="s">
        <v>118</v>
      </c>
      <c r="K7" t="s">
        <v>119</v>
      </c>
      <c r="L7" t="s">
        <v>120</v>
      </c>
      <c r="M7" t="s">
        <v>121</v>
      </c>
      <c r="N7" t="s">
        <v>199</v>
      </c>
      <c r="O7" t="s">
        <v>6</v>
      </c>
      <c r="P7" t="s">
        <v>54</v>
      </c>
      <c r="Q7" t="s">
        <v>211</v>
      </c>
      <c r="S7" t="s">
        <v>200</v>
      </c>
      <c r="T7" t="s">
        <v>324</v>
      </c>
      <c r="W7" t="s">
        <v>325</v>
      </c>
      <c r="X7" t="s">
        <v>326</v>
      </c>
      <c r="Z7" t="s">
        <v>274</v>
      </c>
      <c r="AA7" t="s">
        <v>327</v>
      </c>
    </row>
    <row r="8" spans="1:27">
      <c r="A8" t="s">
        <v>316</v>
      </c>
      <c r="B8" s="1">
        <v>41458</v>
      </c>
      <c r="C8" t="s">
        <v>111</v>
      </c>
      <c r="D8" t="s">
        <v>112</v>
      </c>
      <c r="E8" t="s">
        <v>113</v>
      </c>
      <c r="F8" t="s">
        <v>114</v>
      </c>
      <c r="G8" t="s">
        <v>115</v>
      </c>
      <c r="I8" t="s">
        <v>317</v>
      </c>
      <c r="J8" t="s">
        <v>118</v>
      </c>
      <c r="K8" t="s">
        <v>119</v>
      </c>
      <c r="L8" t="s">
        <v>120</v>
      </c>
      <c r="M8" t="s">
        <v>121</v>
      </c>
      <c r="N8" t="s">
        <v>199</v>
      </c>
      <c r="O8" t="s">
        <v>7</v>
      </c>
      <c r="P8" t="s">
        <v>52</v>
      </c>
      <c r="Q8" t="s">
        <v>318</v>
      </c>
      <c r="S8" t="s">
        <v>143</v>
      </c>
      <c r="T8" t="s">
        <v>319</v>
      </c>
      <c r="W8" t="s">
        <v>320</v>
      </c>
      <c r="X8" t="s">
        <v>267</v>
      </c>
      <c r="Z8" t="s">
        <v>321</v>
      </c>
      <c r="AA8" t="s">
        <v>138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9"/>
  <dimension ref="A1:AA6"/>
  <sheetViews>
    <sheetView workbookViewId="0">
      <selection activeCell="I2" sqref="I2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315</v>
      </c>
      <c r="B2" s="1">
        <v>41459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H2" t="s">
        <v>116</v>
      </c>
      <c r="I2" t="s">
        <v>312</v>
      </c>
      <c r="J2" t="s">
        <v>118</v>
      </c>
      <c r="K2" t="s">
        <v>119</v>
      </c>
      <c r="L2" t="s">
        <v>120</v>
      </c>
      <c r="M2" t="s">
        <v>121</v>
      </c>
      <c r="N2" t="s">
        <v>122</v>
      </c>
      <c r="P2" t="s">
        <v>52</v>
      </c>
      <c r="Q2" t="s">
        <v>123</v>
      </c>
      <c r="R2" t="s">
        <v>135</v>
      </c>
      <c r="S2" t="s">
        <v>143</v>
      </c>
      <c r="T2" t="s">
        <v>313</v>
      </c>
      <c r="U2" t="s">
        <v>155</v>
      </c>
      <c r="V2" t="s">
        <v>128</v>
      </c>
      <c r="W2" t="s">
        <v>330</v>
      </c>
      <c r="X2" t="s">
        <v>267</v>
      </c>
      <c r="Y2" t="s">
        <v>128</v>
      </c>
      <c r="Z2" t="s">
        <v>173</v>
      </c>
      <c r="AA2" t="s">
        <v>138</v>
      </c>
    </row>
    <row r="3" spans="1:27">
      <c r="A3" t="s">
        <v>329</v>
      </c>
      <c r="B3" s="1">
        <v>41459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H3" t="s">
        <v>116</v>
      </c>
      <c r="I3" t="s">
        <v>317</v>
      </c>
      <c r="J3" t="s">
        <v>118</v>
      </c>
      <c r="K3" t="s">
        <v>119</v>
      </c>
      <c r="L3" t="s">
        <v>120</v>
      </c>
      <c r="M3" t="s">
        <v>121</v>
      </c>
      <c r="N3" t="s">
        <v>122</v>
      </c>
      <c r="P3" t="s">
        <v>52</v>
      </c>
      <c r="Q3" t="s">
        <v>318</v>
      </c>
      <c r="R3" t="s">
        <v>135</v>
      </c>
      <c r="S3" t="s">
        <v>143</v>
      </c>
      <c r="T3" t="s">
        <v>328</v>
      </c>
      <c r="U3" t="s">
        <v>155</v>
      </c>
      <c r="V3" t="s">
        <v>128</v>
      </c>
      <c r="W3" t="s">
        <v>331</v>
      </c>
      <c r="X3" t="s">
        <v>267</v>
      </c>
      <c r="Y3" t="s">
        <v>128</v>
      </c>
      <c r="Z3" t="s">
        <v>321</v>
      </c>
      <c r="AA3" t="s">
        <v>138</v>
      </c>
    </row>
    <row r="4" spans="1:27">
      <c r="A4" t="s">
        <v>332</v>
      </c>
      <c r="B4" s="1">
        <v>41459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H4" t="s">
        <v>116</v>
      </c>
      <c r="I4" t="s">
        <v>333</v>
      </c>
      <c r="J4" t="s">
        <v>118</v>
      </c>
      <c r="K4" t="s">
        <v>119</v>
      </c>
      <c r="L4" t="s">
        <v>120</v>
      </c>
      <c r="M4" t="s">
        <v>121</v>
      </c>
      <c r="N4" t="s">
        <v>122</v>
      </c>
      <c r="P4" t="s">
        <v>52</v>
      </c>
      <c r="Q4" t="s">
        <v>334</v>
      </c>
      <c r="R4" t="s">
        <v>135</v>
      </c>
      <c r="S4" t="s">
        <v>143</v>
      </c>
      <c r="T4" t="s">
        <v>272</v>
      </c>
      <c r="U4" t="s">
        <v>127</v>
      </c>
      <c r="V4" t="s">
        <v>128</v>
      </c>
      <c r="W4" t="s">
        <v>335</v>
      </c>
      <c r="X4" t="s">
        <v>336</v>
      </c>
      <c r="Y4" t="s">
        <v>128</v>
      </c>
      <c r="Z4" t="s">
        <v>337</v>
      </c>
      <c r="AA4" t="s">
        <v>138</v>
      </c>
    </row>
    <row r="5" spans="1:27">
      <c r="A5" t="s">
        <v>338</v>
      </c>
      <c r="B5" s="1">
        <v>41459</v>
      </c>
      <c r="C5" t="s">
        <v>111</v>
      </c>
      <c r="D5" t="s">
        <v>112</v>
      </c>
      <c r="E5" t="s">
        <v>113</v>
      </c>
      <c r="F5" t="s">
        <v>114</v>
      </c>
      <c r="G5" t="s">
        <v>115</v>
      </c>
      <c r="H5" t="s">
        <v>116</v>
      </c>
      <c r="I5" t="s">
        <v>339</v>
      </c>
      <c r="J5" t="s">
        <v>118</v>
      </c>
      <c r="K5" t="s">
        <v>119</v>
      </c>
      <c r="L5" t="s">
        <v>120</v>
      </c>
      <c r="M5" t="s">
        <v>121</v>
      </c>
      <c r="N5" t="s">
        <v>122</v>
      </c>
      <c r="P5" t="s">
        <v>52</v>
      </c>
      <c r="Q5" t="s">
        <v>284</v>
      </c>
      <c r="R5" t="s">
        <v>135</v>
      </c>
      <c r="S5" t="s">
        <v>168</v>
      </c>
      <c r="T5" t="s">
        <v>126</v>
      </c>
      <c r="U5" t="s">
        <v>127</v>
      </c>
      <c r="V5" t="s">
        <v>128</v>
      </c>
      <c r="W5" t="s">
        <v>223</v>
      </c>
      <c r="X5" t="s">
        <v>336</v>
      </c>
      <c r="Y5" t="s">
        <v>128</v>
      </c>
      <c r="Z5" t="s">
        <v>340</v>
      </c>
      <c r="AA5" t="s">
        <v>226</v>
      </c>
    </row>
    <row r="6" spans="1:27">
      <c r="A6" t="s">
        <v>341</v>
      </c>
      <c r="B6" s="1">
        <v>41459</v>
      </c>
      <c r="C6" t="s">
        <v>111</v>
      </c>
      <c r="D6" t="s">
        <v>112</v>
      </c>
      <c r="E6" t="s">
        <v>113</v>
      </c>
      <c r="F6" t="s">
        <v>114</v>
      </c>
      <c r="G6" t="s">
        <v>115</v>
      </c>
      <c r="I6" t="s">
        <v>342</v>
      </c>
      <c r="J6" t="s">
        <v>118</v>
      </c>
      <c r="K6" t="s">
        <v>119</v>
      </c>
      <c r="L6" t="s">
        <v>120</v>
      </c>
      <c r="M6" t="s">
        <v>121</v>
      </c>
      <c r="N6" t="s">
        <v>199</v>
      </c>
      <c r="O6" t="s">
        <v>1</v>
      </c>
      <c r="P6" t="s">
        <v>52</v>
      </c>
      <c r="Q6" t="s">
        <v>343</v>
      </c>
      <c r="S6" t="s">
        <v>143</v>
      </c>
      <c r="T6" t="s">
        <v>344</v>
      </c>
      <c r="W6" t="s">
        <v>345</v>
      </c>
      <c r="X6" t="s">
        <v>336</v>
      </c>
      <c r="Z6" t="s">
        <v>196</v>
      </c>
      <c r="AA6" t="s">
        <v>149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Plan10"/>
  <dimension ref="A1:AA30"/>
  <sheetViews>
    <sheetView workbookViewId="0">
      <selection activeCell="B39" sqref="B39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341</v>
      </c>
      <c r="B2" s="1">
        <v>41459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I2" t="s">
        <v>342</v>
      </c>
      <c r="J2" t="s">
        <v>118</v>
      </c>
      <c r="K2" t="s">
        <v>119</v>
      </c>
      <c r="L2" t="s">
        <v>120</v>
      </c>
      <c r="M2" t="s">
        <v>121</v>
      </c>
      <c r="N2" t="s">
        <v>199</v>
      </c>
      <c r="O2" t="s">
        <v>1</v>
      </c>
      <c r="P2" t="s">
        <v>52</v>
      </c>
      <c r="Q2" t="s">
        <v>343</v>
      </c>
      <c r="S2" t="s">
        <v>143</v>
      </c>
      <c r="T2" t="s">
        <v>344</v>
      </c>
      <c r="W2" t="s">
        <v>345</v>
      </c>
      <c r="X2" t="s">
        <v>336</v>
      </c>
      <c r="Z2" t="s">
        <v>196</v>
      </c>
      <c r="AA2" t="s">
        <v>149</v>
      </c>
    </row>
    <row r="3" spans="1:27">
      <c r="B3" s="1"/>
    </row>
    <row r="4" spans="1:27">
      <c r="B4" s="1"/>
    </row>
    <row r="5" spans="1:27">
      <c r="B5" s="1"/>
    </row>
    <row r="6" spans="1:27">
      <c r="B6" s="1"/>
    </row>
    <row r="7" spans="1:27">
      <c r="B7" s="1"/>
    </row>
    <row r="8" spans="1:27">
      <c r="B8" s="1"/>
    </row>
    <row r="9" spans="1:27">
      <c r="B9" s="1"/>
    </row>
    <row r="10" spans="1:27">
      <c r="B10" s="1"/>
    </row>
    <row r="11" spans="1:27">
      <c r="B11" s="1"/>
    </row>
    <row r="12" spans="1:27">
      <c r="B12" s="1"/>
    </row>
    <row r="13" spans="1:27">
      <c r="B13" s="1"/>
    </row>
    <row r="14" spans="1:27">
      <c r="B14" s="1"/>
    </row>
    <row r="15" spans="1:27">
      <c r="B15" s="1"/>
    </row>
    <row r="16" spans="1:27">
      <c r="B16" s="1"/>
    </row>
    <row r="17" spans="2:2">
      <c r="B17" s="1"/>
    </row>
    <row r="18" spans="2:2">
      <c r="B18" s="1"/>
    </row>
    <row r="19" spans="2:2">
      <c r="B19" s="1"/>
    </row>
    <row r="20" spans="2:2">
      <c r="B20" s="1"/>
    </row>
    <row r="21" spans="2:2">
      <c r="B21" s="1"/>
    </row>
    <row r="22" spans="2:2">
      <c r="B22" s="1"/>
    </row>
    <row r="23" spans="2:2">
      <c r="B23" s="1"/>
    </row>
    <row r="24" spans="2:2">
      <c r="B24" s="1"/>
    </row>
    <row r="25" spans="2:2">
      <c r="B25" s="1"/>
    </row>
    <row r="26" spans="2:2">
      <c r="B26" s="1"/>
    </row>
    <row r="27" spans="2:2">
      <c r="B27" s="1"/>
    </row>
    <row r="28" spans="2:2">
      <c r="B28" s="1"/>
    </row>
    <row r="29" spans="2:2">
      <c r="B29" s="1"/>
    </row>
    <row r="30" spans="2:2">
      <c r="B30" s="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Plan11"/>
  <dimension ref="A1:AA28"/>
  <sheetViews>
    <sheetView workbookViewId="0">
      <selection activeCell="F31" sqref="F31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346</v>
      </c>
      <c r="B2" s="1">
        <v>41460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H2" t="s">
        <v>116</v>
      </c>
      <c r="I2" t="s">
        <v>347</v>
      </c>
      <c r="J2" t="s">
        <v>118</v>
      </c>
      <c r="K2" t="s">
        <v>119</v>
      </c>
      <c r="L2" t="s">
        <v>120</v>
      </c>
      <c r="M2" t="s">
        <v>121</v>
      </c>
      <c r="N2" t="s">
        <v>122</v>
      </c>
      <c r="P2" t="s">
        <v>54</v>
      </c>
      <c r="Q2" t="s">
        <v>235</v>
      </c>
      <c r="R2" t="s">
        <v>135</v>
      </c>
      <c r="S2" t="s">
        <v>200</v>
      </c>
      <c r="T2" t="s">
        <v>207</v>
      </c>
      <c r="U2" t="s">
        <v>127</v>
      </c>
      <c r="V2" t="s">
        <v>170</v>
      </c>
      <c r="W2" t="s">
        <v>348</v>
      </c>
      <c r="X2" t="s">
        <v>349</v>
      </c>
      <c r="Y2" t="s">
        <v>170</v>
      </c>
      <c r="Z2" t="s">
        <v>350</v>
      </c>
      <c r="AA2" t="s">
        <v>209</v>
      </c>
    </row>
    <row r="3" spans="1:27">
      <c r="A3" t="s">
        <v>351</v>
      </c>
      <c r="B3" s="1">
        <v>41460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H3" t="s">
        <v>116</v>
      </c>
      <c r="I3" t="s">
        <v>352</v>
      </c>
      <c r="J3" t="s">
        <v>118</v>
      </c>
      <c r="K3" t="s">
        <v>119</v>
      </c>
      <c r="L3" t="s">
        <v>120</v>
      </c>
      <c r="M3" t="s">
        <v>121</v>
      </c>
      <c r="N3" t="s">
        <v>122</v>
      </c>
      <c r="P3" t="s">
        <v>65</v>
      </c>
      <c r="Q3" t="s">
        <v>353</v>
      </c>
      <c r="R3" t="s">
        <v>354</v>
      </c>
      <c r="S3" t="s">
        <v>248</v>
      </c>
      <c r="T3" t="s">
        <v>355</v>
      </c>
      <c r="U3" t="s">
        <v>127</v>
      </c>
      <c r="V3" t="s">
        <v>128</v>
      </c>
      <c r="W3" t="s">
        <v>171</v>
      </c>
      <c r="X3" t="s">
        <v>349</v>
      </c>
      <c r="Y3" t="s">
        <v>128</v>
      </c>
      <c r="Z3" t="s">
        <v>350</v>
      </c>
      <c r="AA3" t="s">
        <v>174</v>
      </c>
    </row>
    <row r="4" spans="1:27">
      <c r="A4" t="s">
        <v>356</v>
      </c>
      <c r="B4" s="1">
        <v>41460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H4" t="s">
        <v>116</v>
      </c>
      <c r="I4" t="s">
        <v>357</v>
      </c>
      <c r="J4" t="s">
        <v>118</v>
      </c>
      <c r="K4" t="s">
        <v>119</v>
      </c>
      <c r="L4" t="s">
        <v>120</v>
      </c>
      <c r="M4" t="s">
        <v>121</v>
      </c>
      <c r="N4" t="s">
        <v>122</v>
      </c>
      <c r="P4" t="s">
        <v>65</v>
      </c>
      <c r="Q4" t="s">
        <v>353</v>
      </c>
      <c r="R4" t="s">
        <v>354</v>
      </c>
      <c r="S4" t="s">
        <v>248</v>
      </c>
      <c r="T4" t="s">
        <v>355</v>
      </c>
      <c r="U4" t="s">
        <v>127</v>
      </c>
      <c r="V4" t="s">
        <v>128</v>
      </c>
      <c r="W4" t="s">
        <v>171</v>
      </c>
      <c r="X4" t="s">
        <v>349</v>
      </c>
      <c r="Y4" t="s">
        <v>128</v>
      </c>
      <c r="Z4" t="s">
        <v>350</v>
      </c>
      <c r="AA4" t="s">
        <v>174</v>
      </c>
    </row>
    <row r="5" spans="1:27">
      <c r="A5" t="s">
        <v>358</v>
      </c>
      <c r="B5" s="1">
        <v>41460</v>
      </c>
      <c r="C5" t="s">
        <v>111</v>
      </c>
      <c r="D5" t="s">
        <v>112</v>
      </c>
      <c r="E5" t="s">
        <v>113</v>
      </c>
      <c r="F5" t="s">
        <v>114</v>
      </c>
      <c r="G5" t="s">
        <v>115</v>
      </c>
      <c r="H5" t="s">
        <v>116</v>
      </c>
      <c r="I5" t="s">
        <v>359</v>
      </c>
      <c r="J5" t="s">
        <v>118</v>
      </c>
      <c r="K5" t="s">
        <v>119</v>
      </c>
      <c r="L5" t="s">
        <v>120</v>
      </c>
      <c r="M5" t="s">
        <v>121</v>
      </c>
      <c r="N5" t="s">
        <v>122</v>
      </c>
      <c r="P5" t="s">
        <v>65</v>
      </c>
      <c r="Q5" t="s">
        <v>353</v>
      </c>
      <c r="R5" t="s">
        <v>354</v>
      </c>
      <c r="S5" t="s">
        <v>248</v>
      </c>
      <c r="T5" t="s">
        <v>355</v>
      </c>
      <c r="U5" t="s">
        <v>127</v>
      </c>
      <c r="V5" t="s">
        <v>128</v>
      </c>
      <c r="W5" t="s">
        <v>171</v>
      </c>
      <c r="X5" t="s">
        <v>349</v>
      </c>
      <c r="Y5" t="s">
        <v>128</v>
      </c>
      <c r="Z5" t="s">
        <v>350</v>
      </c>
      <c r="AA5" t="s">
        <v>174</v>
      </c>
    </row>
    <row r="6" spans="1:27">
      <c r="A6" t="s">
        <v>360</v>
      </c>
      <c r="B6" s="1">
        <v>41460</v>
      </c>
      <c r="C6" t="s">
        <v>111</v>
      </c>
      <c r="D6" t="s">
        <v>112</v>
      </c>
      <c r="E6" t="s">
        <v>113</v>
      </c>
      <c r="F6" t="s">
        <v>114</v>
      </c>
      <c r="G6" t="s">
        <v>115</v>
      </c>
      <c r="H6" t="s">
        <v>361</v>
      </c>
      <c r="I6" t="s">
        <v>362</v>
      </c>
      <c r="J6" t="s">
        <v>118</v>
      </c>
      <c r="K6" t="s">
        <v>119</v>
      </c>
      <c r="L6" t="s">
        <v>120</v>
      </c>
      <c r="M6" t="s">
        <v>121</v>
      </c>
      <c r="N6" t="s">
        <v>122</v>
      </c>
      <c r="P6" t="s">
        <v>53</v>
      </c>
      <c r="Q6" t="s">
        <v>222</v>
      </c>
      <c r="R6" t="s">
        <v>363</v>
      </c>
      <c r="S6" t="s">
        <v>168</v>
      </c>
      <c r="T6" t="s">
        <v>126</v>
      </c>
      <c r="U6" t="s">
        <v>145</v>
      </c>
      <c r="V6" t="s">
        <v>170</v>
      </c>
      <c r="W6" t="s">
        <v>223</v>
      </c>
      <c r="X6" t="s">
        <v>349</v>
      </c>
      <c r="Y6" t="s">
        <v>170</v>
      </c>
      <c r="Z6" t="s">
        <v>148</v>
      </c>
      <c r="AA6" t="s">
        <v>226</v>
      </c>
    </row>
    <row r="7" spans="1:27">
      <c r="A7" t="s">
        <v>364</v>
      </c>
      <c r="B7" s="1">
        <v>41460</v>
      </c>
      <c r="C7" t="s">
        <v>111</v>
      </c>
      <c r="D7" t="s">
        <v>112</v>
      </c>
      <c r="E7" t="s">
        <v>113</v>
      </c>
      <c r="F7" t="s">
        <v>114</v>
      </c>
      <c r="G7" t="s">
        <v>115</v>
      </c>
      <c r="H7" t="s">
        <v>116</v>
      </c>
      <c r="I7" t="s">
        <v>323</v>
      </c>
      <c r="J7" t="s">
        <v>118</v>
      </c>
      <c r="K7" t="s">
        <v>119</v>
      </c>
      <c r="L7" t="s">
        <v>120</v>
      </c>
      <c r="M7" t="s">
        <v>121</v>
      </c>
      <c r="N7" t="s">
        <v>122</v>
      </c>
      <c r="P7" t="s">
        <v>54</v>
      </c>
      <c r="Q7" t="s">
        <v>178</v>
      </c>
      <c r="R7" t="s">
        <v>365</v>
      </c>
      <c r="S7" t="s">
        <v>200</v>
      </c>
      <c r="T7" t="s">
        <v>366</v>
      </c>
      <c r="U7" t="s">
        <v>127</v>
      </c>
      <c r="V7" t="s">
        <v>128</v>
      </c>
      <c r="W7" t="s">
        <v>367</v>
      </c>
      <c r="X7" t="s">
        <v>336</v>
      </c>
      <c r="Y7" t="s">
        <v>128</v>
      </c>
      <c r="Z7" t="s">
        <v>274</v>
      </c>
      <c r="AA7" t="s">
        <v>368</v>
      </c>
    </row>
    <row r="8" spans="1:27">
      <c r="A8" t="s">
        <v>369</v>
      </c>
      <c r="B8" s="1">
        <v>41460</v>
      </c>
      <c r="C8" t="s">
        <v>111</v>
      </c>
      <c r="D8" t="s">
        <v>112</v>
      </c>
      <c r="E8" t="s">
        <v>113</v>
      </c>
      <c r="F8" t="s">
        <v>114</v>
      </c>
      <c r="G8" t="s">
        <v>115</v>
      </c>
      <c r="H8" t="s">
        <v>116</v>
      </c>
      <c r="I8" t="s">
        <v>370</v>
      </c>
      <c r="J8" t="s">
        <v>118</v>
      </c>
      <c r="K8" t="s">
        <v>119</v>
      </c>
      <c r="L8" t="s">
        <v>120</v>
      </c>
      <c r="M8" t="s">
        <v>121</v>
      </c>
      <c r="N8" t="s">
        <v>122</v>
      </c>
      <c r="P8" t="s">
        <v>52</v>
      </c>
      <c r="Q8" t="s">
        <v>123</v>
      </c>
      <c r="R8" t="s">
        <v>135</v>
      </c>
      <c r="S8" t="s">
        <v>168</v>
      </c>
      <c r="T8" t="s">
        <v>169</v>
      </c>
      <c r="U8" t="s">
        <v>127</v>
      </c>
      <c r="V8" t="s">
        <v>128</v>
      </c>
      <c r="W8" t="s">
        <v>371</v>
      </c>
      <c r="X8" t="s">
        <v>349</v>
      </c>
      <c r="Y8" t="s">
        <v>128</v>
      </c>
      <c r="Z8" t="s">
        <v>218</v>
      </c>
      <c r="AA8" t="s">
        <v>226</v>
      </c>
    </row>
    <row r="9" spans="1:27">
      <c r="A9" t="s">
        <v>372</v>
      </c>
      <c r="B9" s="1">
        <v>41460</v>
      </c>
      <c r="C9" t="s">
        <v>111</v>
      </c>
      <c r="D9" t="s">
        <v>112</v>
      </c>
      <c r="E9" t="s">
        <v>113</v>
      </c>
      <c r="F9" t="s">
        <v>114</v>
      </c>
      <c r="G9" t="s">
        <v>115</v>
      </c>
      <c r="H9" t="s">
        <v>116</v>
      </c>
      <c r="I9" t="s">
        <v>373</v>
      </c>
      <c r="J9" t="s">
        <v>118</v>
      </c>
      <c r="K9" t="s">
        <v>119</v>
      </c>
      <c r="L9" t="s">
        <v>120</v>
      </c>
      <c r="M9" t="s">
        <v>121</v>
      </c>
      <c r="N9" t="s">
        <v>122</v>
      </c>
      <c r="P9" t="s">
        <v>65</v>
      </c>
      <c r="Q9" t="s">
        <v>353</v>
      </c>
      <c r="R9" t="s">
        <v>354</v>
      </c>
      <c r="S9" t="s">
        <v>248</v>
      </c>
      <c r="T9" t="s">
        <v>355</v>
      </c>
      <c r="U9" t="s">
        <v>127</v>
      </c>
      <c r="V9" t="s">
        <v>128</v>
      </c>
      <c r="W9" t="s">
        <v>171</v>
      </c>
      <c r="X9" t="s">
        <v>349</v>
      </c>
      <c r="Y9" t="s">
        <v>128</v>
      </c>
      <c r="Z9" t="s">
        <v>350</v>
      </c>
      <c r="AA9" t="s">
        <v>174</v>
      </c>
    </row>
    <row r="10" spans="1:27">
      <c r="A10" t="s">
        <v>374</v>
      </c>
      <c r="B10" s="1">
        <v>41460</v>
      </c>
      <c r="C10" t="s">
        <v>111</v>
      </c>
      <c r="D10" t="s">
        <v>112</v>
      </c>
      <c r="E10" t="s">
        <v>113</v>
      </c>
      <c r="F10" t="s">
        <v>114</v>
      </c>
      <c r="G10" t="s">
        <v>115</v>
      </c>
      <c r="H10" t="s">
        <v>116</v>
      </c>
      <c r="I10" t="s">
        <v>375</v>
      </c>
      <c r="J10" t="s">
        <v>118</v>
      </c>
      <c r="K10" t="s">
        <v>119</v>
      </c>
      <c r="L10" t="s">
        <v>120</v>
      </c>
      <c r="M10" t="s">
        <v>121</v>
      </c>
      <c r="N10" t="s">
        <v>122</v>
      </c>
      <c r="P10" t="s">
        <v>65</v>
      </c>
      <c r="Q10" t="s">
        <v>353</v>
      </c>
      <c r="R10" t="s">
        <v>354</v>
      </c>
      <c r="S10" t="s">
        <v>248</v>
      </c>
      <c r="T10" t="s">
        <v>355</v>
      </c>
      <c r="U10" t="s">
        <v>127</v>
      </c>
      <c r="V10" t="s">
        <v>128</v>
      </c>
      <c r="W10" t="s">
        <v>171</v>
      </c>
      <c r="X10" t="s">
        <v>349</v>
      </c>
      <c r="Y10" t="s">
        <v>128</v>
      </c>
      <c r="Z10" t="s">
        <v>350</v>
      </c>
      <c r="AA10" t="s">
        <v>174</v>
      </c>
    </row>
    <row r="11" spans="1:27">
      <c r="A11" t="s">
        <v>376</v>
      </c>
      <c r="B11" s="1">
        <v>41460</v>
      </c>
      <c r="C11" t="s">
        <v>111</v>
      </c>
      <c r="D11" t="s">
        <v>112</v>
      </c>
      <c r="E11" t="s">
        <v>113</v>
      </c>
      <c r="F11" t="s">
        <v>114</v>
      </c>
      <c r="G11" t="s">
        <v>115</v>
      </c>
      <c r="H11" t="s">
        <v>116</v>
      </c>
      <c r="I11" t="s">
        <v>377</v>
      </c>
      <c r="J11" t="s">
        <v>118</v>
      </c>
      <c r="K11" t="s">
        <v>119</v>
      </c>
      <c r="L11" t="s">
        <v>120</v>
      </c>
      <c r="M11" t="s">
        <v>121</v>
      </c>
      <c r="N11" t="s">
        <v>122</v>
      </c>
      <c r="P11" t="s">
        <v>65</v>
      </c>
      <c r="Q11" t="s">
        <v>353</v>
      </c>
      <c r="R11" t="s">
        <v>354</v>
      </c>
      <c r="S11" t="s">
        <v>248</v>
      </c>
      <c r="T11" t="s">
        <v>355</v>
      </c>
      <c r="U11" t="s">
        <v>127</v>
      </c>
      <c r="V11" t="s">
        <v>128</v>
      </c>
      <c r="W11" t="s">
        <v>171</v>
      </c>
      <c r="X11" t="s">
        <v>349</v>
      </c>
      <c r="Y11" t="s">
        <v>128</v>
      </c>
      <c r="Z11" t="s">
        <v>350</v>
      </c>
      <c r="AA11" t="s">
        <v>174</v>
      </c>
    </row>
    <row r="12" spans="1:27">
      <c r="A12" t="s">
        <v>378</v>
      </c>
      <c r="B12" s="1">
        <v>41460</v>
      </c>
      <c r="C12" t="s">
        <v>111</v>
      </c>
      <c r="D12" t="s">
        <v>112</v>
      </c>
      <c r="E12" t="s">
        <v>113</v>
      </c>
      <c r="F12" t="s">
        <v>114</v>
      </c>
      <c r="G12" t="s">
        <v>115</v>
      </c>
      <c r="H12" t="s">
        <v>116</v>
      </c>
      <c r="I12" t="s">
        <v>379</v>
      </c>
      <c r="J12" t="s">
        <v>118</v>
      </c>
      <c r="K12" t="s">
        <v>119</v>
      </c>
      <c r="L12" t="s">
        <v>120</v>
      </c>
      <c r="M12" t="s">
        <v>121</v>
      </c>
      <c r="N12" t="s">
        <v>122</v>
      </c>
      <c r="P12" t="s">
        <v>65</v>
      </c>
      <c r="Q12" t="s">
        <v>353</v>
      </c>
      <c r="R12" t="s">
        <v>354</v>
      </c>
      <c r="S12" t="s">
        <v>248</v>
      </c>
      <c r="T12" t="s">
        <v>355</v>
      </c>
      <c r="U12" t="s">
        <v>127</v>
      </c>
      <c r="V12" t="s">
        <v>128</v>
      </c>
      <c r="W12" t="s">
        <v>171</v>
      </c>
      <c r="X12" t="s">
        <v>349</v>
      </c>
      <c r="Y12" t="s">
        <v>128</v>
      </c>
      <c r="Z12" t="s">
        <v>350</v>
      </c>
      <c r="AA12" t="s">
        <v>174</v>
      </c>
    </row>
    <row r="13" spans="1:27">
      <c r="A13" t="s">
        <v>380</v>
      </c>
      <c r="B13" s="1">
        <v>41460</v>
      </c>
      <c r="C13" t="s">
        <v>111</v>
      </c>
      <c r="D13" t="s">
        <v>112</v>
      </c>
      <c r="E13" t="s">
        <v>113</v>
      </c>
      <c r="F13" t="s">
        <v>114</v>
      </c>
      <c r="G13" t="s">
        <v>115</v>
      </c>
      <c r="H13" t="s">
        <v>116</v>
      </c>
      <c r="I13" t="s">
        <v>381</v>
      </c>
      <c r="J13" t="s">
        <v>118</v>
      </c>
      <c r="K13" t="s">
        <v>119</v>
      </c>
      <c r="L13" t="s">
        <v>120</v>
      </c>
      <c r="M13" t="s">
        <v>121</v>
      </c>
      <c r="N13" t="s">
        <v>122</v>
      </c>
      <c r="P13" t="s">
        <v>65</v>
      </c>
      <c r="Q13" t="s">
        <v>353</v>
      </c>
      <c r="R13" t="s">
        <v>354</v>
      </c>
      <c r="S13" t="s">
        <v>248</v>
      </c>
      <c r="T13" t="s">
        <v>355</v>
      </c>
      <c r="U13" t="s">
        <v>127</v>
      </c>
      <c r="V13" t="s">
        <v>128</v>
      </c>
      <c r="W13" t="s">
        <v>171</v>
      </c>
      <c r="X13" t="s">
        <v>349</v>
      </c>
      <c r="Y13" t="s">
        <v>128</v>
      </c>
      <c r="Z13" t="s">
        <v>350</v>
      </c>
      <c r="AA13" t="s">
        <v>174</v>
      </c>
    </row>
    <row r="14" spans="1:27">
      <c r="A14" t="s">
        <v>382</v>
      </c>
      <c r="B14" s="1">
        <v>41460</v>
      </c>
      <c r="C14" t="s">
        <v>111</v>
      </c>
      <c r="D14" t="s">
        <v>112</v>
      </c>
      <c r="E14" t="s">
        <v>113</v>
      </c>
      <c r="F14" t="s">
        <v>114</v>
      </c>
      <c r="G14" t="s">
        <v>115</v>
      </c>
      <c r="H14" t="s">
        <v>116</v>
      </c>
      <c r="I14" t="s">
        <v>383</v>
      </c>
      <c r="J14" t="s">
        <v>118</v>
      </c>
      <c r="K14" t="s">
        <v>119</v>
      </c>
      <c r="L14" t="s">
        <v>120</v>
      </c>
      <c r="M14" t="s">
        <v>121</v>
      </c>
      <c r="N14" t="s">
        <v>122</v>
      </c>
      <c r="P14" t="s">
        <v>65</v>
      </c>
      <c r="Q14" t="s">
        <v>353</v>
      </c>
      <c r="R14" t="s">
        <v>354</v>
      </c>
      <c r="S14" t="s">
        <v>248</v>
      </c>
      <c r="T14" t="s">
        <v>355</v>
      </c>
      <c r="U14" t="s">
        <v>127</v>
      </c>
      <c r="V14" t="s">
        <v>128</v>
      </c>
      <c r="W14" t="s">
        <v>171</v>
      </c>
      <c r="X14" t="s">
        <v>349</v>
      </c>
      <c r="Y14" t="s">
        <v>128</v>
      </c>
      <c r="Z14" t="s">
        <v>350</v>
      </c>
      <c r="AA14" t="s">
        <v>174</v>
      </c>
    </row>
    <row r="15" spans="1:27">
      <c r="A15" t="s">
        <v>384</v>
      </c>
      <c r="B15" s="1">
        <v>41460</v>
      </c>
      <c r="C15" t="s">
        <v>111</v>
      </c>
      <c r="D15" t="s">
        <v>112</v>
      </c>
      <c r="E15" t="s">
        <v>113</v>
      </c>
      <c r="F15" t="s">
        <v>114</v>
      </c>
      <c r="G15" t="s">
        <v>115</v>
      </c>
      <c r="H15" t="s">
        <v>116</v>
      </c>
      <c r="I15" t="s">
        <v>385</v>
      </c>
      <c r="J15" t="s">
        <v>118</v>
      </c>
      <c r="K15" t="s">
        <v>119</v>
      </c>
      <c r="L15" t="s">
        <v>120</v>
      </c>
      <c r="M15" t="s">
        <v>121</v>
      </c>
      <c r="N15" t="s">
        <v>122</v>
      </c>
      <c r="P15" t="s">
        <v>52</v>
      </c>
      <c r="Q15" t="s">
        <v>318</v>
      </c>
      <c r="R15" t="s">
        <v>135</v>
      </c>
      <c r="S15" t="s">
        <v>143</v>
      </c>
      <c r="T15" t="s">
        <v>386</v>
      </c>
      <c r="U15" t="s">
        <v>155</v>
      </c>
      <c r="V15" t="s">
        <v>170</v>
      </c>
      <c r="W15" t="s">
        <v>387</v>
      </c>
      <c r="X15" t="s">
        <v>349</v>
      </c>
      <c r="Y15" t="s">
        <v>170</v>
      </c>
      <c r="Z15" t="s">
        <v>202</v>
      </c>
      <c r="AA15" t="s">
        <v>138</v>
      </c>
    </row>
    <row r="16" spans="1:27">
      <c r="A16" t="s">
        <v>388</v>
      </c>
      <c r="B16" s="1">
        <v>41460</v>
      </c>
      <c r="C16" t="s">
        <v>111</v>
      </c>
      <c r="D16" t="s">
        <v>112</v>
      </c>
      <c r="E16" t="s">
        <v>113</v>
      </c>
      <c r="F16" t="s">
        <v>114</v>
      </c>
      <c r="G16" t="s">
        <v>115</v>
      </c>
      <c r="H16" t="s">
        <v>116</v>
      </c>
      <c r="I16" t="s">
        <v>389</v>
      </c>
      <c r="J16" t="s">
        <v>118</v>
      </c>
      <c r="K16" t="s">
        <v>119</v>
      </c>
      <c r="L16" t="s">
        <v>120</v>
      </c>
      <c r="M16" t="s">
        <v>121</v>
      </c>
      <c r="N16" t="s">
        <v>122</v>
      </c>
      <c r="P16" t="s">
        <v>65</v>
      </c>
      <c r="Q16" t="s">
        <v>353</v>
      </c>
      <c r="R16" t="s">
        <v>390</v>
      </c>
      <c r="S16" t="s">
        <v>248</v>
      </c>
      <c r="T16" t="s">
        <v>355</v>
      </c>
      <c r="U16" t="s">
        <v>127</v>
      </c>
      <c r="V16" t="s">
        <v>128</v>
      </c>
      <c r="W16" t="s">
        <v>171</v>
      </c>
      <c r="X16" t="s">
        <v>349</v>
      </c>
      <c r="Y16" t="s">
        <v>128</v>
      </c>
      <c r="Z16" t="s">
        <v>350</v>
      </c>
      <c r="AA16" t="s">
        <v>174</v>
      </c>
    </row>
    <row r="17" spans="1:27">
      <c r="A17" t="s">
        <v>391</v>
      </c>
      <c r="B17" s="1">
        <v>41460</v>
      </c>
      <c r="C17" t="s">
        <v>111</v>
      </c>
      <c r="D17" t="s">
        <v>112</v>
      </c>
      <c r="E17" t="s">
        <v>113</v>
      </c>
      <c r="F17" t="s">
        <v>114</v>
      </c>
      <c r="G17" t="s">
        <v>115</v>
      </c>
      <c r="H17" t="s">
        <v>116</v>
      </c>
      <c r="I17" t="s">
        <v>392</v>
      </c>
      <c r="J17" t="s">
        <v>118</v>
      </c>
      <c r="K17" t="s">
        <v>119</v>
      </c>
      <c r="L17" t="s">
        <v>120</v>
      </c>
      <c r="M17" t="s">
        <v>121</v>
      </c>
      <c r="N17" t="s">
        <v>122</v>
      </c>
      <c r="P17" t="s">
        <v>65</v>
      </c>
      <c r="Q17" t="s">
        <v>353</v>
      </c>
      <c r="R17" t="s">
        <v>354</v>
      </c>
      <c r="S17" t="s">
        <v>248</v>
      </c>
      <c r="T17" t="s">
        <v>355</v>
      </c>
      <c r="U17" t="s">
        <v>127</v>
      </c>
      <c r="V17" t="s">
        <v>128</v>
      </c>
      <c r="W17" t="s">
        <v>171</v>
      </c>
      <c r="X17" t="s">
        <v>349</v>
      </c>
      <c r="Y17" t="s">
        <v>128</v>
      </c>
      <c r="Z17" t="s">
        <v>350</v>
      </c>
      <c r="AA17" t="s">
        <v>174</v>
      </c>
    </row>
    <row r="18" spans="1:27">
      <c r="A18" t="s">
        <v>393</v>
      </c>
      <c r="B18" s="1">
        <v>41460</v>
      </c>
      <c r="C18" t="s">
        <v>111</v>
      </c>
      <c r="D18" t="s">
        <v>112</v>
      </c>
      <c r="E18" t="s">
        <v>113</v>
      </c>
      <c r="F18" t="s">
        <v>114</v>
      </c>
      <c r="G18" t="s">
        <v>115</v>
      </c>
      <c r="H18" t="s">
        <v>116</v>
      </c>
      <c r="I18" t="s">
        <v>394</v>
      </c>
      <c r="J18" t="s">
        <v>118</v>
      </c>
      <c r="K18" t="s">
        <v>119</v>
      </c>
      <c r="L18" t="s">
        <v>120</v>
      </c>
      <c r="M18" t="s">
        <v>121</v>
      </c>
      <c r="N18" t="s">
        <v>122</v>
      </c>
      <c r="P18" t="s">
        <v>65</v>
      </c>
      <c r="Q18" t="s">
        <v>353</v>
      </c>
      <c r="R18" t="s">
        <v>354</v>
      </c>
      <c r="S18" t="s">
        <v>248</v>
      </c>
      <c r="T18" t="s">
        <v>355</v>
      </c>
      <c r="U18" t="s">
        <v>127</v>
      </c>
      <c r="V18" t="s">
        <v>128</v>
      </c>
      <c r="W18" t="s">
        <v>171</v>
      </c>
      <c r="X18" t="s">
        <v>349</v>
      </c>
      <c r="Y18" t="s">
        <v>128</v>
      </c>
      <c r="Z18" t="s">
        <v>350</v>
      </c>
      <c r="AA18" t="s">
        <v>174</v>
      </c>
    </row>
    <row r="19" spans="1:27">
      <c r="A19" t="s">
        <v>395</v>
      </c>
      <c r="B19" s="1">
        <v>41460</v>
      </c>
      <c r="C19" t="s">
        <v>111</v>
      </c>
      <c r="D19" t="s">
        <v>112</v>
      </c>
      <c r="E19" t="s">
        <v>113</v>
      </c>
      <c r="F19" t="s">
        <v>114</v>
      </c>
      <c r="G19" t="s">
        <v>115</v>
      </c>
      <c r="H19" t="s">
        <v>116</v>
      </c>
      <c r="I19" t="s">
        <v>396</v>
      </c>
      <c r="J19" t="s">
        <v>118</v>
      </c>
      <c r="K19" t="s">
        <v>119</v>
      </c>
      <c r="L19" t="s">
        <v>120</v>
      </c>
      <c r="M19" t="s">
        <v>121</v>
      </c>
      <c r="N19" t="s">
        <v>122</v>
      </c>
      <c r="P19" t="s">
        <v>65</v>
      </c>
      <c r="Q19" t="s">
        <v>353</v>
      </c>
      <c r="R19" t="s">
        <v>354</v>
      </c>
      <c r="S19" t="s">
        <v>248</v>
      </c>
      <c r="T19" t="s">
        <v>355</v>
      </c>
      <c r="U19" t="s">
        <v>127</v>
      </c>
      <c r="V19" t="s">
        <v>128</v>
      </c>
      <c r="W19" t="s">
        <v>171</v>
      </c>
      <c r="X19" t="s">
        <v>349</v>
      </c>
      <c r="Y19" t="s">
        <v>128</v>
      </c>
      <c r="Z19" t="s">
        <v>350</v>
      </c>
      <c r="AA19" t="s">
        <v>174</v>
      </c>
    </row>
    <row r="20" spans="1:27">
      <c r="A20" t="s">
        <v>397</v>
      </c>
      <c r="B20" s="1">
        <v>41460</v>
      </c>
      <c r="C20" t="s">
        <v>111</v>
      </c>
      <c r="D20" t="s">
        <v>112</v>
      </c>
      <c r="E20" t="s">
        <v>113</v>
      </c>
      <c r="F20" t="s">
        <v>114</v>
      </c>
      <c r="G20" t="s">
        <v>115</v>
      </c>
      <c r="H20" t="s">
        <v>116</v>
      </c>
      <c r="I20" t="s">
        <v>398</v>
      </c>
      <c r="J20" t="s">
        <v>118</v>
      </c>
      <c r="K20" t="s">
        <v>119</v>
      </c>
      <c r="L20" t="s">
        <v>120</v>
      </c>
      <c r="M20" t="s">
        <v>121</v>
      </c>
      <c r="N20" t="s">
        <v>122</v>
      </c>
      <c r="P20" t="s">
        <v>65</v>
      </c>
      <c r="Q20" t="s">
        <v>353</v>
      </c>
      <c r="R20" t="s">
        <v>354</v>
      </c>
      <c r="S20" t="s">
        <v>248</v>
      </c>
      <c r="T20" t="s">
        <v>355</v>
      </c>
      <c r="U20" t="s">
        <v>127</v>
      </c>
      <c r="V20" t="s">
        <v>128</v>
      </c>
      <c r="W20" t="s">
        <v>171</v>
      </c>
      <c r="X20" t="s">
        <v>349</v>
      </c>
      <c r="Y20" t="s">
        <v>128</v>
      </c>
      <c r="Z20" t="s">
        <v>350</v>
      </c>
      <c r="AA20" t="s">
        <v>174</v>
      </c>
    </row>
    <row r="21" spans="1:27">
      <c r="A21" t="s">
        <v>399</v>
      </c>
      <c r="B21" s="1">
        <v>41460</v>
      </c>
      <c r="C21" t="s">
        <v>111</v>
      </c>
      <c r="D21" t="s">
        <v>112</v>
      </c>
      <c r="E21" t="s">
        <v>113</v>
      </c>
      <c r="F21" t="s">
        <v>114</v>
      </c>
      <c r="G21" t="s">
        <v>115</v>
      </c>
      <c r="H21" t="s">
        <v>116</v>
      </c>
      <c r="I21" t="s">
        <v>400</v>
      </c>
      <c r="J21" t="s">
        <v>118</v>
      </c>
      <c r="K21" t="s">
        <v>119</v>
      </c>
      <c r="L21" t="s">
        <v>120</v>
      </c>
      <c r="M21" t="s">
        <v>121</v>
      </c>
      <c r="N21" t="s">
        <v>122</v>
      </c>
      <c r="P21" t="s">
        <v>65</v>
      </c>
      <c r="Q21" t="s">
        <v>353</v>
      </c>
      <c r="R21" t="s">
        <v>354</v>
      </c>
      <c r="S21" t="s">
        <v>248</v>
      </c>
      <c r="T21" t="s">
        <v>355</v>
      </c>
      <c r="U21" t="s">
        <v>127</v>
      </c>
      <c r="V21" t="s">
        <v>128</v>
      </c>
      <c r="W21" t="s">
        <v>171</v>
      </c>
      <c r="X21" t="s">
        <v>349</v>
      </c>
      <c r="Y21" t="s">
        <v>128</v>
      </c>
      <c r="Z21" t="s">
        <v>350</v>
      </c>
      <c r="AA21" t="s">
        <v>174</v>
      </c>
    </row>
    <row r="22" spans="1:27">
      <c r="A22" t="s">
        <v>401</v>
      </c>
      <c r="B22" s="1">
        <v>41460</v>
      </c>
      <c r="C22" t="s">
        <v>111</v>
      </c>
      <c r="D22" t="s">
        <v>112</v>
      </c>
      <c r="E22" t="s">
        <v>113</v>
      </c>
      <c r="F22" t="s">
        <v>114</v>
      </c>
      <c r="G22" t="s">
        <v>115</v>
      </c>
      <c r="H22" t="s">
        <v>116</v>
      </c>
      <c r="I22" t="s">
        <v>402</v>
      </c>
      <c r="J22" t="s">
        <v>118</v>
      </c>
      <c r="K22" t="s">
        <v>119</v>
      </c>
      <c r="L22" t="s">
        <v>120</v>
      </c>
      <c r="M22" t="s">
        <v>121</v>
      </c>
      <c r="N22" t="s">
        <v>122</v>
      </c>
      <c r="P22" t="s">
        <v>65</v>
      </c>
      <c r="Q22" t="s">
        <v>353</v>
      </c>
      <c r="R22" t="s">
        <v>354</v>
      </c>
      <c r="S22" t="s">
        <v>248</v>
      </c>
      <c r="T22" t="s">
        <v>355</v>
      </c>
      <c r="U22" t="s">
        <v>127</v>
      </c>
      <c r="V22" t="s">
        <v>128</v>
      </c>
      <c r="W22" t="s">
        <v>171</v>
      </c>
      <c r="X22" t="s">
        <v>349</v>
      </c>
      <c r="Y22" t="s">
        <v>128</v>
      </c>
      <c r="Z22" t="s">
        <v>350</v>
      </c>
      <c r="AA22" t="s">
        <v>174</v>
      </c>
    </row>
    <row r="23" spans="1:27">
      <c r="A23" t="s">
        <v>403</v>
      </c>
      <c r="B23" s="1">
        <v>41460</v>
      </c>
      <c r="C23" t="s">
        <v>111</v>
      </c>
      <c r="D23" t="s">
        <v>112</v>
      </c>
      <c r="E23" t="s">
        <v>113</v>
      </c>
      <c r="F23" t="s">
        <v>114</v>
      </c>
      <c r="G23" t="s">
        <v>115</v>
      </c>
      <c r="H23" t="s">
        <v>116</v>
      </c>
      <c r="I23" t="s">
        <v>404</v>
      </c>
      <c r="J23" t="s">
        <v>118</v>
      </c>
      <c r="K23" t="s">
        <v>119</v>
      </c>
      <c r="L23" t="s">
        <v>120</v>
      </c>
      <c r="M23" t="s">
        <v>121</v>
      </c>
      <c r="N23" t="s">
        <v>122</v>
      </c>
      <c r="P23" t="s">
        <v>65</v>
      </c>
      <c r="Q23" t="s">
        <v>353</v>
      </c>
      <c r="R23" t="s">
        <v>354</v>
      </c>
      <c r="S23" t="s">
        <v>248</v>
      </c>
      <c r="T23" t="s">
        <v>355</v>
      </c>
      <c r="U23" t="s">
        <v>127</v>
      </c>
      <c r="V23" t="s">
        <v>128</v>
      </c>
      <c r="W23" t="s">
        <v>171</v>
      </c>
      <c r="X23" t="s">
        <v>349</v>
      </c>
      <c r="Y23" t="s">
        <v>128</v>
      </c>
      <c r="Z23" t="s">
        <v>350</v>
      </c>
      <c r="AA23" t="s">
        <v>174</v>
      </c>
    </row>
    <row r="24" spans="1:27">
      <c r="A24" t="s">
        <v>405</v>
      </c>
      <c r="B24" s="1">
        <v>41460</v>
      </c>
      <c r="C24" t="s">
        <v>111</v>
      </c>
      <c r="D24" t="s">
        <v>112</v>
      </c>
      <c r="E24" t="s">
        <v>113</v>
      </c>
      <c r="F24" t="s">
        <v>114</v>
      </c>
      <c r="G24" t="s">
        <v>115</v>
      </c>
      <c r="H24" t="s">
        <v>116</v>
      </c>
      <c r="I24" t="s">
        <v>406</v>
      </c>
      <c r="J24" t="s">
        <v>118</v>
      </c>
      <c r="K24" t="s">
        <v>119</v>
      </c>
      <c r="L24" t="s">
        <v>120</v>
      </c>
      <c r="M24" t="s">
        <v>121</v>
      </c>
      <c r="N24" t="s">
        <v>122</v>
      </c>
      <c r="P24" t="s">
        <v>52</v>
      </c>
      <c r="Q24" t="s">
        <v>407</v>
      </c>
      <c r="R24" t="s">
        <v>135</v>
      </c>
      <c r="S24" t="s">
        <v>143</v>
      </c>
      <c r="T24" t="s">
        <v>408</v>
      </c>
      <c r="U24" t="s">
        <v>127</v>
      </c>
      <c r="V24" t="s">
        <v>128</v>
      </c>
      <c r="W24" t="s">
        <v>409</v>
      </c>
      <c r="X24" t="s">
        <v>336</v>
      </c>
      <c r="Y24" t="s">
        <v>128</v>
      </c>
      <c r="Z24" t="s">
        <v>137</v>
      </c>
      <c r="AA24" t="s">
        <v>138</v>
      </c>
    </row>
    <row r="25" spans="1:27">
      <c r="A25" t="s">
        <v>410</v>
      </c>
      <c r="B25" s="1">
        <v>41460</v>
      </c>
      <c r="C25" t="s">
        <v>111</v>
      </c>
      <c r="D25" t="s">
        <v>112</v>
      </c>
      <c r="E25" t="s">
        <v>113</v>
      </c>
      <c r="F25" t="s">
        <v>114</v>
      </c>
      <c r="G25" t="s">
        <v>115</v>
      </c>
      <c r="I25" t="s">
        <v>308</v>
      </c>
      <c r="J25" t="s">
        <v>118</v>
      </c>
      <c r="K25" t="s">
        <v>119</v>
      </c>
      <c r="L25" t="s">
        <v>120</v>
      </c>
      <c r="M25" t="s">
        <v>121</v>
      </c>
      <c r="N25" t="s">
        <v>193</v>
      </c>
      <c r="O25" t="s">
        <v>11</v>
      </c>
      <c r="P25" t="s">
        <v>52</v>
      </c>
      <c r="Q25" t="s">
        <v>411</v>
      </c>
      <c r="R25" t="s">
        <v>412</v>
      </c>
      <c r="S25" t="s">
        <v>143</v>
      </c>
      <c r="T25" t="s">
        <v>272</v>
      </c>
      <c r="W25" t="s">
        <v>413</v>
      </c>
      <c r="X25" t="s">
        <v>267</v>
      </c>
      <c r="Y25" t="s">
        <v>195</v>
      </c>
      <c r="Z25" t="s">
        <v>292</v>
      </c>
      <c r="AA25" t="s">
        <v>138</v>
      </c>
    </row>
    <row r="26" spans="1:27">
      <c r="A26" t="s">
        <v>414</v>
      </c>
      <c r="B26" s="1">
        <v>41460</v>
      </c>
      <c r="C26" t="s">
        <v>111</v>
      </c>
      <c r="D26" t="s">
        <v>112</v>
      </c>
      <c r="E26" t="s">
        <v>113</v>
      </c>
      <c r="F26" t="s">
        <v>114</v>
      </c>
      <c r="G26" t="s">
        <v>115</v>
      </c>
      <c r="I26" t="s">
        <v>415</v>
      </c>
      <c r="J26" t="s">
        <v>118</v>
      </c>
      <c r="K26" t="s">
        <v>119</v>
      </c>
      <c r="L26" t="s">
        <v>120</v>
      </c>
      <c r="M26" t="s">
        <v>121</v>
      </c>
      <c r="N26" t="s">
        <v>193</v>
      </c>
      <c r="O26" t="s">
        <v>64</v>
      </c>
      <c r="P26" t="s">
        <v>54</v>
      </c>
      <c r="Q26" t="s">
        <v>235</v>
      </c>
      <c r="R26" t="s">
        <v>416</v>
      </c>
      <c r="S26" t="s">
        <v>143</v>
      </c>
      <c r="T26" t="s">
        <v>180</v>
      </c>
      <c r="U26" t="s">
        <v>127</v>
      </c>
      <c r="W26" t="s">
        <v>181</v>
      </c>
      <c r="X26" t="s">
        <v>349</v>
      </c>
      <c r="Y26" t="s">
        <v>195</v>
      </c>
      <c r="Z26" t="s">
        <v>152</v>
      </c>
      <c r="AA26" t="s">
        <v>138</v>
      </c>
    </row>
    <row r="27" spans="1:27">
      <c r="A27" t="s">
        <v>417</v>
      </c>
      <c r="B27" s="1">
        <v>41460</v>
      </c>
      <c r="C27" t="s">
        <v>111</v>
      </c>
      <c r="D27" t="s">
        <v>112</v>
      </c>
      <c r="E27" t="s">
        <v>113</v>
      </c>
      <c r="F27" t="s">
        <v>114</v>
      </c>
      <c r="G27" t="s">
        <v>115</v>
      </c>
      <c r="I27" t="s">
        <v>418</v>
      </c>
      <c r="J27" t="s">
        <v>118</v>
      </c>
      <c r="K27" t="s">
        <v>119</v>
      </c>
      <c r="L27" t="s">
        <v>120</v>
      </c>
      <c r="M27" t="s">
        <v>121</v>
      </c>
      <c r="N27" t="s">
        <v>419</v>
      </c>
      <c r="P27" t="s">
        <v>65</v>
      </c>
      <c r="Q27" t="s">
        <v>353</v>
      </c>
      <c r="S27" t="s">
        <v>248</v>
      </c>
      <c r="T27" t="s">
        <v>355</v>
      </c>
      <c r="W27" t="s">
        <v>171</v>
      </c>
      <c r="X27" t="s">
        <v>349</v>
      </c>
      <c r="Z27" t="s">
        <v>350</v>
      </c>
      <c r="AA27" t="s">
        <v>174</v>
      </c>
    </row>
    <row r="28" spans="1:27">
      <c r="A28" t="s">
        <v>420</v>
      </c>
      <c r="B28" s="1">
        <v>41460</v>
      </c>
      <c r="C28" t="s">
        <v>111</v>
      </c>
      <c r="D28" t="s">
        <v>112</v>
      </c>
      <c r="E28" t="s">
        <v>113</v>
      </c>
      <c r="F28" t="s">
        <v>114</v>
      </c>
      <c r="G28" t="s">
        <v>115</v>
      </c>
      <c r="I28" t="s">
        <v>421</v>
      </c>
      <c r="J28" t="s">
        <v>118</v>
      </c>
      <c r="K28" t="s">
        <v>119</v>
      </c>
      <c r="L28" t="s">
        <v>120</v>
      </c>
      <c r="M28" t="s">
        <v>121</v>
      </c>
      <c r="N28" t="s">
        <v>199</v>
      </c>
      <c r="O28" t="s">
        <v>6</v>
      </c>
      <c r="P28" t="s">
        <v>53</v>
      </c>
      <c r="Q28" t="s">
        <v>422</v>
      </c>
      <c r="S28" t="s">
        <v>264</v>
      </c>
      <c r="T28" t="s">
        <v>272</v>
      </c>
      <c r="W28" t="s">
        <v>423</v>
      </c>
      <c r="X28" t="s">
        <v>349</v>
      </c>
      <c r="Z28" t="s">
        <v>137</v>
      </c>
      <c r="AA28" t="s">
        <v>424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Plan12"/>
  <dimension ref="A1:AA4"/>
  <sheetViews>
    <sheetView workbookViewId="0">
      <selection activeCell="I2" sqref="I2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420</v>
      </c>
      <c r="B2" s="1">
        <v>41460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I2" t="s">
        <v>421</v>
      </c>
      <c r="J2" t="s">
        <v>118</v>
      </c>
      <c r="K2" t="s">
        <v>119</v>
      </c>
      <c r="L2" t="s">
        <v>120</v>
      </c>
      <c r="M2" t="s">
        <v>121</v>
      </c>
      <c r="N2" t="s">
        <v>199</v>
      </c>
      <c r="O2" t="s">
        <v>6</v>
      </c>
      <c r="P2" t="s">
        <v>53</v>
      </c>
      <c r="Q2" t="s">
        <v>422</v>
      </c>
      <c r="S2" t="s">
        <v>264</v>
      </c>
      <c r="T2" t="s">
        <v>272</v>
      </c>
      <c r="W2" t="s">
        <v>423</v>
      </c>
      <c r="X2" t="s">
        <v>349</v>
      </c>
      <c r="Z2" t="s">
        <v>137</v>
      </c>
      <c r="AA2" t="s">
        <v>424</v>
      </c>
    </row>
    <row r="3" spans="1:27">
      <c r="A3" t="s">
        <v>414</v>
      </c>
      <c r="B3" s="1">
        <v>41460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I3" t="s">
        <v>415</v>
      </c>
      <c r="J3" t="s">
        <v>118</v>
      </c>
      <c r="K3" t="s">
        <v>119</v>
      </c>
      <c r="L3" t="s">
        <v>120</v>
      </c>
      <c r="M3" t="s">
        <v>121</v>
      </c>
      <c r="N3" t="s">
        <v>193</v>
      </c>
      <c r="O3" t="s">
        <v>64</v>
      </c>
      <c r="P3" t="s">
        <v>54</v>
      </c>
      <c r="Q3" t="s">
        <v>235</v>
      </c>
      <c r="R3" t="s">
        <v>416</v>
      </c>
      <c r="S3" t="s">
        <v>143</v>
      </c>
      <c r="T3" t="s">
        <v>180</v>
      </c>
      <c r="U3" t="s">
        <v>127</v>
      </c>
      <c r="W3" t="s">
        <v>181</v>
      </c>
      <c r="X3" t="s">
        <v>349</v>
      </c>
      <c r="Y3" t="s">
        <v>195</v>
      </c>
      <c r="Z3" t="s">
        <v>152</v>
      </c>
      <c r="AA3" t="s">
        <v>138</v>
      </c>
    </row>
    <row r="4" spans="1:27">
      <c r="A4" t="s">
        <v>410</v>
      </c>
      <c r="B4" s="1">
        <v>41460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I4" t="s">
        <v>308</v>
      </c>
      <c r="J4" t="s">
        <v>118</v>
      </c>
      <c r="K4" t="s">
        <v>119</v>
      </c>
      <c r="L4" t="s">
        <v>120</v>
      </c>
      <c r="M4" t="s">
        <v>121</v>
      </c>
      <c r="N4" t="s">
        <v>193</v>
      </c>
      <c r="O4" t="s">
        <v>11</v>
      </c>
      <c r="P4" t="s">
        <v>52</v>
      </c>
      <c r="Q4" t="s">
        <v>411</v>
      </c>
      <c r="R4" t="s">
        <v>412</v>
      </c>
      <c r="S4" t="s">
        <v>143</v>
      </c>
      <c r="T4" t="s">
        <v>272</v>
      </c>
      <c r="W4" t="s">
        <v>413</v>
      </c>
      <c r="X4" t="s">
        <v>267</v>
      </c>
      <c r="Y4" t="s">
        <v>195</v>
      </c>
      <c r="Z4" t="s">
        <v>292</v>
      </c>
      <c r="AA4" t="s">
        <v>138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Plan13"/>
  <dimension ref="A1:AA61"/>
  <sheetViews>
    <sheetView workbookViewId="0">
      <selection activeCell="I2" sqref="I2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425</v>
      </c>
      <c r="B2" s="1">
        <v>41461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H2" t="s">
        <v>116</v>
      </c>
      <c r="I2" t="s">
        <v>426</v>
      </c>
      <c r="J2" t="s">
        <v>118</v>
      </c>
      <c r="K2" t="s">
        <v>119</v>
      </c>
      <c r="L2" t="s">
        <v>120</v>
      </c>
      <c r="M2" t="s">
        <v>121</v>
      </c>
      <c r="N2" t="s">
        <v>122</v>
      </c>
      <c r="P2" t="s">
        <v>54</v>
      </c>
      <c r="Q2" t="s">
        <v>353</v>
      </c>
      <c r="R2" t="s">
        <v>427</v>
      </c>
      <c r="S2" t="s">
        <v>248</v>
      </c>
      <c r="T2" t="s">
        <v>428</v>
      </c>
      <c r="U2" t="s">
        <v>127</v>
      </c>
      <c r="V2" t="s">
        <v>231</v>
      </c>
      <c r="W2" t="s">
        <v>429</v>
      </c>
      <c r="X2" t="s">
        <v>430</v>
      </c>
      <c r="Y2" t="s">
        <v>231</v>
      </c>
      <c r="Z2" t="s">
        <v>431</v>
      </c>
      <c r="AA2" t="s">
        <v>327</v>
      </c>
    </row>
    <row r="3" spans="1:27">
      <c r="A3" t="s">
        <v>432</v>
      </c>
      <c r="B3" s="1">
        <v>41461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H3" t="s">
        <v>116</v>
      </c>
      <c r="I3" t="s">
        <v>433</v>
      </c>
      <c r="J3" t="s">
        <v>118</v>
      </c>
      <c r="K3" t="s">
        <v>119</v>
      </c>
      <c r="L3" t="s">
        <v>120</v>
      </c>
      <c r="M3" t="s">
        <v>121</v>
      </c>
      <c r="N3" t="s">
        <v>122</v>
      </c>
      <c r="P3" t="s">
        <v>54</v>
      </c>
      <c r="Q3" t="s">
        <v>353</v>
      </c>
      <c r="R3" t="s">
        <v>434</v>
      </c>
      <c r="S3" t="s">
        <v>248</v>
      </c>
      <c r="T3" t="s">
        <v>428</v>
      </c>
      <c r="U3" t="s">
        <v>127</v>
      </c>
      <c r="V3" t="s">
        <v>231</v>
      </c>
      <c r="W3" t="s">
        <v>429</v>
      </c>
      <c r="X3" t="s">
        <v>430</v>
      </c>
      <c r="Y3" t="s">
        <v>231</v>
      </c>
      <c r="Z3" t="s">
        <v>431</v>
      </c>
      <c r="AA3" t="s">
        <v>327</v>
      </c>
    </row>
    <row r="4" spans="1:27">
      <c r="A4" t="s">
        <v>435</v>
      </c>
      <c r="B4" s="1">
        <v>41461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H4" t="s">
        <v>116</v>
      </c>
      <c r="I4" t="s">
        <v>436</v>
      </c>
      <c r="J4" t="s">
        <v>118</v>
      </c>
      <c r="K4" t="s">
        <v>119</v>
      </c>
      <c r="L4" t="s">
        <v>120</v>
      </c>
      <c r="M4" t="s">
        <v>121</v>
      </c>
      <c r="N4" t="s">
        <v>122</v>
      </c>
      <c r="P4" t="s">
        <v>54</v>
      </c>
      <c r="Q4" t="s">
        <v>353</v>
      </c>
      <c r="R4" t="s">
        <v>437</v>
      </c>
      <c r="S4" t="s">
        <v>248</v>
      </c>
      <c r="T4" t="s">
        <v>428</v>
      </c>
      <c r="U4" t="s">
        <v>127</v>
      </c>
      <c r="V4" t="s">
        <v>231</v>
      </c>
      <c r="W4" t="s">
        <v>429</v>
      </c>
      <c r="X4" t="s">
        <v>430</v>
      </c>
      <c r="Y4" t="s">
        <v>231</v>
      </c>
      <c r="Z4" t="s">
        <v>431</v>
      </c>
      <c r="AA4" t="s">
        <v>327</v>
      </c>
    </row>
    <row r="5" spans="1:27">
      <c r="A5" t="s">
        <v>438</v>
      </c>
      <c r="B5" s="1">
        <v>41461</v>
      </c>
      <c r="C5" t="s">
        <v>111</v>
      </c>
      <c r="D5" t="s">
        <v>112</v>
      </c>
      <c r="E5" t="s">
        <v>113</v>
      </c>
      <c r="F5" t="s">
        <v>114</v>
      </c>
      <c r="G5" t="s">
        <v>115</v>
      </c>
      <c r="H5" t="s">
        <v>116</v>
      </c>
      <c r="I5" t="s">
        <v>439</v>
      </c>
      <c r="J5" t="s">
        <v>118</v>
      </c>
      <c r="K5" t="s">
        <v>119</v>
      </c>
      <c r="L5" t="s">
        <v>120</v>
      </c>
      <c r="M5" t="s">
        <v>121</v>
      </c>
      <c r="N5" t="s">
        <v>122</v>
      </c>
      <c r="P5" t="s">
        <v>54</v>
      </c>
      <c r="Q5" t="s">
        <v>353</v>
      </c>
      <c r="R5" t="s">
        <v>440</v>
      </c>
      <c r="S5" t="s">
        <v>248</v>
      </c>
      <c r="T5" t="s">
        <v>428</v>
      </c>
      <c r="U5" t="s">
        <v>127</v>
      </c>
      <c r="V5" t="s">
        <v>231</v>
      </c>
      <c r="W5" t="s">
        <v>429</v>
      </c>
      <c r="X5" t="s">
        <v>430</v>
      </c>
      <c r="Y5" t="s">
        <v>231</v>
      </c>
      <c r="Z5" t="s">
        <v>431</v>
      </c>
      <c r="AA5" t="s">
        <v>327</v>
      </c>
    </row>
    <row r="6" spans="1:27">
      <c r="A6" t="s">
        <v>441</v>
      </c>
      <c r="B6" s="1">
        <v>41461</v>
      </c>
      <c r="C6" t="s">
        <v>111</v>
      </c>
      <c r="D6" t="s">
        <v>112</v>
      </c>
      <c r="E6" t="s">
        <v>113</v>
      </c>
      <c r="F6" t="s">
        <v>114</v>
      </c>
      <c r="G6" t="s">
        <v>115</v>
      </c>
      <c r="H6" t="s">
        <v>116</v>
      </c>
      <c r="I6" t="s">
        <v>442</v>
      </c>
      <c r="J6" t="s">
        <v>118</v>
      </c>
      <c r="K6" t="s">
        <v>119</v>
      </c>
      <c r="L6" t="s">
        <v>120</v>
      </c>
      <c r="M6" t="s">
        <v>121</v>
      </c>
      <c r="N6" t="s">
        <v>122</v>
      </c>
      <c r="P6" t="s">
        <v>54</v>
      </c>
      <c r="Q6" t="s">
        <v>353</v>
      </c>
      <c r="R6" t="s">
        <v>443</v>
      </c>
      <c r="S6" t="s">
        <v>248</v>
      </c>
      <c r="T6" t="s">
        <v>428</v>
      </c>
      <c r="U6" t="s">
        <v>127</v>
      </c>
      <c r="V6" t="s">
        <v>231</v>
      </c>
      <c r="W6" t="s">
        <v>429</v>
      </c>
      <c r="X6" t="s">
        <v>430</v>
      </c>
      <c r="Y6" t="s">
        <v>231</v>
      </c>
      <c r="Z6" t="s">
        <v>431</v>
      </c>
      <c r="AA6" t="s">
        <v>327</v>
      </c>
    </row>
    <row r="7" spans="1:27">
      <c r="A7" t="s">
        <v>444</v>
      </c>
      <c r="B7" s="1">
        <v>41461</v>
      </c>
      <c r="C7" t="s">
        <v>111</v>
      </c>
      <c r="D7" t="s">
        <v>112</v>
      </c>
      <c r="E7" t="s">
        <v>113</v>
      </c>
      <c r="F7" t="s">
        <v>114</v>
      </c>
      <c r="G7" t="s">
        <v>115</v>
      </c>
      <c r="H7" t="s">
        <v>116</v>
      </c>
      <c r="I7" t="s">
        <v>445</v>
      </c>
      <c r="J7" t="s">
        <v>118</v>
      </c>
      <c r="K7" t="s">
        <v>119</v>
      </c>
      <c r="L7" t="s">
        <v>120</v>
      </c>
      <c r="M7" t="s">
        <v>121</v>
      </c>
      <c r="N7" t="s">
        <v>122</v>
      </c>
      <c r="P7" t="s">
        <v>54</v>
      </c>
      <c r="Q7" t="s">
        <v>353</v>
      </c>
      <c r="R7" t="s">
        <v>446</v>
      </c>
      <c r="S7" t="s">
        <v>248</v>
      </c>
      <c r="T7" t="s">
        <v>428</v>
      </c>
      <c r="U7" t="s">
        <v>127</v>
      </c>
      <c r="V7" t="s">
        <v>231</v>
      </c>
      <c r="W7" t="s">
        <v>429</v>
      </c>
      <c r="X7" t="s">
        <v>430</v>
      </c>
      <c r="Y7" t="s">
        <v>231</v>
      </c>
      <c r="Z7" t="s">
        <v>431</v>
      </c>
      <c r="AA7" t="s">
        <v>327</v>
      </c>
    </row>
    <row r="8" spans="1:27">
      <c r="A8" t="s">
        <v>447</v>
      </c>
      <c r="B8" s="1">
        <v>41461</v>
      </c>
      <c r="C8" t="s">
        <v>111</v>
      </c>
      <c r="D8" t="s">
        <v>112</v>
      </c>
      <c r="E8" t="s">
        <v>113</v>
      </c>
      <c r="F8" t="s">
        <v>114</v>
      </c>
      <c r="G8" t="s">
        <v>115</v>
      </c>
      <c r="H8" t="s">
        <v>116</v>
      </c>
      <c r="I8" t="s">
        <v>448</v>
      </c>
      <c r="J8" t="s">
        <v>118</v>
      </c>
      <c r="K8" t="s">
        <v>119</v>
      </c>
      <c r="L8" t="s">
        <v>120</v>
      </c>
      <c r="M8" t="s">
        <v>121</v>
      </c>
      <c r="N8" t="s">
        <v>122</v>
      </c>
      <c r="P8" t="s">
        <v>54</v>
      </c>
      <c r="Q8" t="s">
        <v>353</v>
      </c>
      <c r="R8" t="s">
        <v>449</v>
      </c>
      <c r="S8" t="s">
        <v>248</v>
      </c>
      <c r="T8" t="s">
        <v>428</v>
      </c>
      <c r="U8" t="s">
        <v>127</v>
      </c>
      <c r="V8" t="s">
        <v>231</v>
      </c>
      <c r="W8" t="s">
        <v>429</v>
      </c>
      <c r="X8" t="s">
        <v>430</v>
      </c>
      <c r="Y8" t="s">
        <v>231</v>
      </c>
      <c r="Z8" t="s">
        <v>431</v>
      </c>
      <c r="AA8" t="s">
        <v>327</v>
      </c>
    </row>
    <row r="9" spans="1:27">
      <c r="A9" t="s">
        <v>450</v>
      </c>
      <c r="B9" s="1">
        <v>41461</v>
      </c>
      <c r="C9" t="s">
        <v>111</v>
      </c>
      <c r="D9" t="s">
        <v>112</v>
      </c>
      <c r="E9" t="s">
        <v>113</v>
      </c>
      <c r="F9" t="s">
        <v>114</v>
      </c>
      <c r="G9" t="s">
        <v>115</v>
      </c>
      <c r="H9" t="s">
        <v>116</v>
      </c>
      <c r="I9" t="s">
        <v>451</v>
      </c>
      <c r="J9" t="s">
        <v>118</v>
      </c>
      <c r="K9" t="s">
        <v>119</v>
      </c>
      <c r="L9" t="s">
        <v>120</v>
      </c>
      <c r="M9" t="s">
        <v>121</v>
      </c>
      <c r="N9" t="s">
        <v>122</v>
      </c>
      <c r="P9" t="s">
        <v>52</v>
      </c>
      <c r="Q9" t="s">
        <v>123</v>
      </c>
      <c r="R9" t="s">
        <v>452</v>
      </c>
      <c r="S9" t="s">
        <v>125</v>
      </c>
      <c r="T9" t="s">
        <v>126</v>
      </c>
      <c r="U9" t="s">
        <v>127</v>
      </c>
      <c r="V9" t="s">
        <v>128</v>
      </c>
      <c r="W9" t="s">
        <v>129</v>
      </c>
      <c r="X9" t="s">
        <v>224</v>
      </c>
      <c r="Y9" t="s">
        <v>128</v>
      </c>
      <c r="Z9" t="s">
        <v>350</v>
      </c>
      <c r="AA9" t="s">
        <v>132</v>
      </c>
    </row>
    <row r="10" spans="1:27">
      <c r="A10" t="s">
        <v>453</v>
      </c>
      <c r="B10" s="1">
        <v>41461</v>
      </c>
      <c r="C10" t="s">
        <v>111</v>
      </c>
      <c r="D10" t="s">
        <v>112</v>
      </c>
      <c r="E10" t="s">
        <v>113</v>
      </c>
      <c r="F10" t="s">
        <v>114</v>
      </c>
      <c r="G10" t="s">
        <v>115</v>
      </c>
      <c r="H10" t="s">
        <v>116</v>
      </c>
      <c r="I10" t="s">
        <v>454</v>
      </c>
      <c r="J10" t="s">
        <v>118</v>
      </c>
      <c r="K10" t="s">
        <v>119</v>
      </c>
      <c r="L10" t="s">
        <v>120</v>
      </c>
      <c r="M10" t="s">
        <v>121</v>
      </c>
      <c r="N10" t="s">
        <v>122</v>
      </c>
      <c r="P10" t="s">
        <v>54</v>
      </c>
      <c r="Q10" t="s">
        <v>353</v>
      </c>
      <c r="R10" t="s">
        <v>455</v>
      </c>
      <c r="S10" t="s">
        <v>248</v>
      </c>
      <c r="T10" t="s">
        <v>428</v>
      </c>
      <c r="U10" t="s">
        <v>127</v>
      </c>
      <c r="V10" t="s">
        <v>231</v>
      </c>
      <c r="W10" t="s">
        <v>429</v>
      </c>
      <c r="X10" t="s">
        <v>430</v>
      </c>
      <c r="Y10" t="s">
        <v>231</v>
      </c>
      <c r="Z10" t="s">
        <v>431</v>
      </c>
      <c r="AA10" t="s">
        <v>327</v>
      </c>
    </row>
    <row r="11" spans="1:27">
      <c r="A11" t="s">
        <v>456</v>
      </c>
      <c r="B11" s="1">
        <v>41461</v>
      </c>
      <c r="C11" t="s">
        <v>111</v>
      </c>
      <c r="D11" t="s">
        <v>112</v>
      </c>
      <c r="E11" t="s">
        <v>113</v>
      </c>
      <c r="F11" t="s">
        <v>114</v>
      </c>
      <c r="G11" t="s">
        <v>115</v>
      </c>
      <c r="H11" t="s">
        <v>116</v>
      </c>
      <c r="I11" t="s">
        <v>457</v>
      </c>
      <c r="J11" t="s">
        <v>118</v>
      </c>
      <c r="K11" t="s">
        <v>119</v>
      </c>
      <c r="L11" t="s">
        <v>120</v>
      </c>
      <c r="M11" t="s">
        <v>121</v>
      </c>
      <c r="N11" t="s">
        <v>122</v>
      </c>
      <c r="P11" t="s">
        <v>52</v>
      </c>
      <c r="Q11" t="s">
        <v>123</v>
      </c>
      <c r="R11" t="s">
        <v>135</v>
      </c>
      <c r="S11" t="s">
        <v>125</v>
      </c>
      <c r="T11" t="s">
        <v>126</v>
      </c>
      <c r="U11" t="s">
        <v>127</v>
      </c>
      <c r="V11" t="s">
        <v>128</v>
      </c>
      <c r="W11" t="s">
        <v>129</v>
      </c>
      <c r="X11" t="s">
        <v>130</v>
      </c>
      <c r="Y11" t="s">
        <v>128</v>
      </c>
      <c r="Z11" t="s">
        <v>458</v>
      </c>
      <c r="AA11" t="s">
        <v>132</v>
      </c>
    </row>
    <row r="12" spans="1:27">
      <c r="A12" t="s">
        <v>459</v>
      </c>
      <c r="B12" s="1">
        <v>41461</v>
      </c>
      <c r="C12" t="s">
        <v>111</v>
      </c>
      <c r="D12" t="s">
        <v>112</v>
      </c>
      <c r="E12" t="s">
        <v>113</v>
      </c>
      <c r="F12" t="s">
        <v>114</v>
      </c>
      <c r="G12" t="s">
        <v>115</v>
      </c>
      <c r="H12" t="s">
        <v>116</v>
      </c>
      <c r="I12" t="s">
        <v>460</v>
      </c>
      <c r="J12" t="s">
        <v>118</v>
      </c>
      <c r="K12" t="s">
        <v>119</v>
      </c>
      <c r="L12" t="s">
        <v>120</v>
      </c>
      <c r="M12" t="s">
        <v>121</v>
      </c>
      <c r="N12" t="s">
        <v>122</v>
      </c>
      <c r="P12" t="s">
        <v>54</v>
      </c>
      <c r="Q12" t="s">
        <v>353</v>
      </c>
      <c r="R12" t="s">
        <v>461</v>
      </c>
      <c r="S12" t="s">
        <v>248</v>
      </c>
      <c r="T12" t="s">
        <v>428</v>
      </c>
      <c r="U12" t="s">
        <v>127</v>
      </c>
      <c r="V12" t="s">
        <v>231</v>
      </c>
      <c r="W12" t="s">
        <v>429</v>
      </c>
      <c r="X12" t="s">
        <v>430</v>
      </c>
      <c r="Y12" t="s">
        <v>231</v>
      </c>
      <c r="Z12" t="s">
        <v>431</v>
      </c>
      <c r="AA12" t="s">
        <v>327</v>
      </c>
    </row>
    <row r="13" spans="1:27">
      <c r="A13" t="s">
        <v>462</v>
      </c>
      <c r="B13" s="1">
        <v>41461</v>
      </c>
      <c r="C13" t="s">
        <v>111</v>
      </c>
      <c r="D13" t="s">
        <v>112</v>
      </c>
      <c r="E13" t="s">
        <v>113</v>
      </c>
      <c r="F13" t="s">
        <v>114</v>
      </c>
      <c r="G13" t="s">
        <v>115</v>
      </c>
      <c r="H13" t="s">
        <v>116</v>
      </c>
      <c r="I13" t="s">
        <v>463</v>
      </c>
      <c r="J13" t="s">
        <v>118</v>
      </c>
      <c r="K13" t="s">
        <v>119</v>
      </c>
      <c r="L13" t="s">
        <v>120</v>
      </c>
      <c r="M13" t="s">
        <v>121</v>
      </c>
      <c r="N13" t="s">
        <v>122</v>
      </c>
      <c r="P13" t="s">
        <v>52</v>
      </c>
      <c r="Q13" t="s">
        <v>123</v>
      </c>
      <c r="R13" t="s">
        <v>464</v>
      </c>
      <c r="S13" t="s">
        <v>168</v>
      </c>
      <c r="T13" t="s">
        <v>126</v>
      </c>
      <c r="U13" t="s">
        <v>145</v>
      </c>
      <c r="V13" t="s">
        <v>128</v>
      </c>
      <c r="W13" t="s">
        <v>223</v>
      </c>
      <c r="X13" t="s">
        <v>349</v>
      </c>
      <c r="Y13" t="s">
        <v>128</v>
      </c>
      <c r="Z13" t="s">
        <v>465</v>
      </c>
      <c r="AA13" t="s">
        <v>226</v>
      </c>
    </row>
    <row r="14" spans="1:27">
      <c r="A14" t="s">
        <v>466</v>
      </c>
      <c r="B14" s="1">
        <v>41461</v>
      </c>
      <c r="C14" t="s">
        <v>111</v>
      </c>
      <c r="D14" t="s">
        <v>112</v>
      </c>
      <c r="E14" t="s">
        <v>113</v>
      </c>
      <c r="F14" t="s">
        <v>114</v>
      </c>
      <c r="G14" t="s">
        <v>115</v>
      </c>
      <c r="H14" t="s">
        <v>116</v>
      </c>
      <c r="I14" t="s">
        <v>467</v>
      </c>
      <c r="J14" t="s">
        <v>118</v>
      </c>
      <c r="K14" t="s">
        <v>119</v>
      </c>
      <c r="L14" t="s">
        <v>120</v>
      </c>
      <c r="M14" t="s">
        <v>121</v>
      </c>
      <c r="N14" t="s">
        <v>122</v>
      </c>
      <c r="P14" t="s">
        <v>53</v>
      </c>
      <c r="Q14" t="s">
        <v>214</v>
      </c>
      <c r="R14" t="s">
        <v>135</v>
      </c>
      <c r="S14" t="s">
        <v>215</v>
      </c>
      <c r="T14" t="s">
        <v>216</v>
      </c>
      <c r="U14" t="s">
        <v>127</v>
      </c>
      <c r="V14" t="s">
        <v>128</v>
      </c>
      <c r="W14" t="s">
        <v>217</v>
      </c>
      <c r="X14" t="s">
        <v>182</v>
      </c>
      <c r="Y14" t="s">
        <v>128</v>
      </c>
      <c r="Z14" t="s">
        <v>251</v>
      </c>
      <c r="AA14" t="s">
        <v>219</v>
      </c>
    </row>
    <row r="15" spans="1:27">
      <c r="A15" t="s">
        <v>468</v>
      </c>
      <c r="B15" s="1">
        <v>41461</v>
      </c>
      <c r="C15" t="s">
        <v>111</v>
      </c>
      <c r="D15" t="s">
        <v>112</v>
      </c>
      <c r="E15" t="s">
        <v>113</v>
      </c>
      <c r="F15" t="s">
        <v>114</v>
      </c>
      <c r="G15" t="s">
        <v>115</v>
      </c>
      <c r="H15" t="s">
        <v>116</v>
      </c>
      <c r="I15" t="s">
        <v>469</v>
      </c>
      <c r="J15" t="s">
        <v>118</v>
      </c>
      <c r="K15" t="s">
        <v>119</v>
      </c>
      <c r="L15" t="s">
        <v>120</v>
      </c>
      <c r="M15" t="s">
        <v>121</v>
      </c>
      <c r="N15" t="s">
        <v>122</v>
      </c>
      <c r="P15" t="s">
        <v>54</v>
      </c>
      <c r="Q15" t="s">
        <v>353</v>
      </c>
      <c r="R15" t="s">
        <v>470</v>
      </c>
      <c r="S15" t="s">
        <v>248</v>
      </c>
      <c r="T15" t="s">
        <v>428</v>
      </c>
      <c r="U15" t="s">
        <v>127</v>
      </c>
      <c r="V15" t="s">
        <v>231</v>
      </c>
      <c r="W15" t="s">
        <v>429</v>
      </c>
      <c r="X15" t="s">
        <v>430</v>
      </c>
      <c r="Y15" t="s">
        <v>231</v>
      </c>
      <c r="Z15" t="s">
        <v>431</v>
      </c>
      <c r="AA15" t="s">
        <v>327</v>
      </c>
    </row>
    <row r="16" spans="1:27">
      <c r="A16" t="s">
        <v>471</v>
      </c>
      <c r="B16" s="1">
        <v>41461</v>
      </c>
      <c r="C16" t="s">
        <v>111</v>
      </c>
      <c r="D16" t="s">
        <v>112</v>
      </c>
      <c r="E16" t="s">
        <v>113</v>
      </c>
      <c r="F16" t="s">
        <v>114</v>
      </c>
      <c r="G16" t="s">
        <v>115</v>
      </c>
      <c r="H16" t="s">
        <v>116</v>
      </c>
      <c r="I16" t="s">
        <v>472</v>
      </c>
      <c r="J16" t="s">
        <v>118</v>
      </c>
      <c r="K16" t="s">
        <v>119</v>
      </c>
      <c r="L16" t="s">
        <v>120</v>
      </c>
      <c r="M16" t="s">
        <v>121</v>
      </c>
      <c r="N16" t="s">
        <v>122</v>
      </c>
      <c r="P16" t="s">
        <v>54</v>
      </c>
      <c r="Q16" t="s">
        <v>353</v>
      </c>
      <c r="R16" t="s">
        <v>473</v>
      </c>
      <c r="S16" t="s">
        <v>248</v>
      </c>
      <c r="T16" t="s">
        <v>428</v>
      </c>
      <c r="U16" t="s">
        <v>127</v>
      </c>
      <c r="V16" t="s">
        <v>231</v>
      </c>
      <c r="W16" t="s">
        <v>429</v>
      </c>
      <c r="X16" t="s">
        <v>430</v>
      </c>
      <c r="Y16" t="s">
        <v>231</v>
      </c>
      <c r="Z16" t="s">
        <v>431</v>
      </c>
      <c r="AA16" t="s">
        <v>327</v>
      </c>
    </row>
    <row r="17" spans="1:27">
      <c r="A17" t="s">
        <v>474</v>
      </c>
      <c r="B17" s="1">
        <v>41461</v>
      </c>
      <c r="C17" t="s">
        <v>111</v>
      </c>
      <c r="D17" t="s">
        <v>112</v>
      </c>
      <c r="E17" t="s">
        <v>113</v>
      </c>
      <c r="F17" t="s">
        <v>114</v>
      </c>
      <c r="G17" t="s">
        <v>115</v>
      </c>
      <c r="H17" t="s">
        <v>116</v>
      </c>
      <c r="I17" t="s">
        <v>475</v>
      </c>
      <c r="J17" t="s">
        <v>118</v>
      </c>
      <c r="K17" t="s">
        <v>119</v>
      </c>
      <c r="L17" t="s">
        <v>120</v>
      </c>
      <c r="M17" t="s">
        <v>121</v>
      </c>
      <c r="N17" t="s">
        <v>122</v>
      </c>
      <c r="P17" t="s">
        <v>54</v>
      </c>
      <c r="Q17" t="s">
        <v>353</v>
      </c>
      <c r="R17" t="s">
        <v>476</v>
      </c>
      <c r="S17" t="s">
        <v>248</v>
      </c>
      <c r="T17" t="s">
        <v>428</v>
      </c>
      <c r="U17" t="s">
        <v>127</v>
      </c>
      <c r="V17" t="s">
        <v>231</v>
      </c>
      <c r="W17" t="s">
        <v>429</v>
      </c>
      <c r="X17" t="s">
        <v>430</v>
      </c>
      <c r="Y17" t="s">
        <v>231</v>
      </c>
      <c r="Z17" t="s">
        <v>431</v>
      </c>
      <c r="AA17" t="s">
        <v>327</v>
      </c>
    </row>
    <row r="18" spans="1:27">
      <c r="A18" t="s">
        <v>477</v>
      </c>
      <c r="B18" s="1">
        <v>41461</v>
      </c>
      <c r="C18" t="s">
        <v>111</v>
      </c>
      <c r="D18" t="s">
        <v>112</v>
      </c>
      <c r="E18" t="s">
        <v>113</v>
      </c>
      <c r="F18" t="s">
        <v>114</v>
      </c>
      <c r="G18" t="s">
        <v>115</v>
      </c>
      <c r="H18" t="s">
        <v>116</v>
      </c>
      <c r="I18" t="s">
        <v>478</v>
      </c>
      <c r="J18" t="s">
        <v>118</v>
      </c>
      <c r="K18" t="s">
        <v>119</v>
      </c>
      <c r="L18" t="s">
        <v>120</v>
      </c>
      <c r="M18" t="s">
        <v>121</v>
      </c>
      <c r="N18" t="s">
        <v>122</v>
      </c>
      <c r="P18" t="s">
        <v>54</v>
      </c>
      <c r="Q18" t="s">
        <v>353</v>
      </c>
      <c r="R18" t="s">
        <v>479</v>
      </c>
      <c r="S18" t="s">
        <v>248</v>
      </c>
      <c r="T18" t="s">
        <v>428</v>
      </c>
      <c r="U18" t="s">
        <v>127</v>
      </c>
      <c r="V18" t="s">
        <v>231</v>
      </c>
      <c r="W18" t="s">
        <v>429</v>
      </c>
      <c r="X18" t="s">
        <v>430</v>
      </c>
      <c r="Y18" t="s">
        <v>231</v>
      </c>
      <c r="Z18" t="s">
        <v>431</v>
      </c>
      <c r="AA18" t="s">
        <v>327</v>
      </c>
    </row>
    <row r="19" spans="1:27">
      <c r="A19" t="s">
        <v>480</v>
      </c>
      <c r="B19" s="1">
        <v>41461</v>
      </c>
      <c r="C19" t="s">
        <v>111</v>
      </c>
      <c r="D19" t="s">
        <v>112</v>
      </c>
      <c r="E19" t="s">
        <v>113</v>
      </c>
      <c r="F19" t="s">
        <v>114</v>
      </c>
      <c r="G19" t="s">
        <v>115</v>
      </c>
      <c r="H19" t="s">
        <v>116</v>
      </c>
      <c r="I19" t="s">
        <v>481</v>
      </c>
      <c r="J19" t="s">
        <v>118</v>
      </c>
      <c r="K19" t="s">
        <v>119</v>
      </c>
      <c r="L19" t="s">
        <v>120</v>
      </c>
      <c r="M19" t="s">
        <v>121</v>
      </c>
      <c r="N19" t="s">
        <v>122</v>
      </c>
      <c r="P19" t="s">
        <v>54</v>
      </c>
      <c r="Q19" t="s">
        <v>353</v>
      </c>
      <c r="R19" t="s">
        <v>482</v>
      </c>
      <c r="S19" t="s">
        <v>248</v>
      </c>
      <c r="T19" t="s">
        <v>428</v>
      </c>
      <c r="U19" t="s">
        <v>127</v>
      </c>
      <c r="V19" t="s">
        <v>231</v>
      </c>
      <c r="W19" t="s">
        <v>429</v>
      </c>
      <c r="X19" t="s">
        <v>430</v>
      </c>
      <c r="Y19" t="s">
        <v>231</v>
      </c>
      <c r="Z19" t="s">
        <v>431</v>
      </c>
      <c r="AA19" t="s">
        <v>327</v>
      </c>
    </row>
    <row r="20" spans="1:27">
      <c r="A20" t="s">
        <v>483</v>
      </c>
      <c r="B20" s="1">
        <v>41461</v>
      </c>
      <c r="C20" t="s">
        <v>111</v>
      </c>
      <c r="D20" t="s">
        <v>112</v>
      </c>
      <c r="E20" t="s">
        <v>113</v>
      </c>
      <c r="F20" t="s">
        <v>114</v>
      </c>
      <c r="G20" t="s">
        <v>115</v>
      </c>
      <c r="H20" t="s">
        <v>116</v>
      </c>
      <c r="I20" t="s">
        <v>484</v>
      </c>
      <c r="J20" t="s">
        <v>118</v>
      </c>
      <c r="K20" t="s">
        <v>119</v>
      </c>
      <c r="L20" t="s">
        <v>120</v>
      </c>
      <c r="M20" t="s">
        <v>121</v>
      </c>
      <c r="N20" t="s">
        <v>122</v>
      </c>
      <c r="P20" t="s">
        <v>54</v>
      </c>
      <c r="Q20" t="s">
        <v>353</v>
      </c>
      <c r="R20" t="s">
        <v>485</v>
      </c>
      <c r="S20" t="s">
        <v>248</v>
      </c>
      <c r="T20" t="s">
        <v>428</v>
      </c>
      <c r="U20" t="s">
        <v>127</v>
      </c>
      <c r="V20" t="s">
        <v>231</v>
      </c>
      <c r="W20" t="s">
        <v>429</v>
      </c>
      <c r="X20" t="s">
        <v>430</v>
      </c>
      <c r="Y20" t="s">
        <v>231</v>
      </c>
      <c r="Z20" t="s">
        <v>431</v>
      </c>
      <c r="AA20" t="s">
        <v>327</v>
      </c>
    </row>
    <row r="21" spans="1:27">
      <c r="A21" t="s">
        <v>486</v>
      </c>
      <c r="B21" s="1">
        <v>41461</v>
      </c>
      <c r="C21" t="s">
        <v>111</v>
      </c>
      <c r="D21" t="s">
        <v>112</v>
      </c>
      <c r="E21" t="s">
        <v>113</v>
      </c>
      <c r="F21" t="s">
        <v>114</v>
      </c>
      <c r="G21" t="s">
        <v>115</v>
      </c>
      <c r="H21" t="s">
        <v>116</v>
      </c>
      <c r="I21" t="s">
        <v>487</v>
      </c>
      <c r="J21" t="s">
        <v>118</v>
      </c>
      <c r="K21" t="s">
        <v>119</v>
      </c>
      <c r="L21" t="s">
        <v>120</v>
      </c>
      <c r="M21" t="s">
        <v>121</v>
      </c>
      <c r="N21" t="s">
        <v>122</v>
      </c>
      <c r="P21" t="s">
        <v>54</v>
      </c>
      <c r="Q21" t="s">
        <v>353</v>
      </c>
      <c r="R21" t="s">
        <v>488</v>
      </c>
      <c r="S21" t="s">
        <v>248</v>
      </c>
      <c r="T21" t="s">
        <v>428</v>
      </c>
      <c r="U21" t="s">
        <v>127</v>
      </c>
      <c r="V21" t="s">
        <v>231</v>
      </c>
      <c r="W21" t="s">
        <v>429</v>
      </c>
      <c r="X21" t="s">
        <v>430</v>
      </c>
      <c r="Y21" t="s">
        <v>231</v>
      </c>
      <c r="Z21" t="s">
        <v>431</v>
      </c>
      <c r="AA21" t="s">
        <v>327</v>
      </c>
    </row>
    <row r="22" spans="1:27">
      <c r="A22" t="s">
        <v>489</v>
      </c>
      <c r="B22" s="1">
        <v>41461</v>
      </c>
      <c r="C22" t="s">
        <v>111</v>
      </c>
      <c r="D22" t="s">
        <v>112</v>
      </c>
      <c r="E22" t="s">
        <v>113</v>
      </c>
      <c r="F22" t="s">
        <v>114</v>
      </c>
      <c r="G22" t="s">
        <v>115</v>
      </c>
      <c r="H22" t="s">
        <v>116</v>
      </c>
      <c r="I22" t="s">
        <v>490</v>
      </c>
      <c r="J22" t="s">
        <v>118</v>
      </c>
      <c r="K22" t="s">
        <v>119</v>
      </c>
      <c r="L22" t="s">
        <v>120</v>
      </c>
      <c r="M22" t="s">
        <v>121</v>
      </c>
      <c r="N22" t="s">
        <v>122</v>
      </c>
      <c r="P22" t="s">
        <v>54</v>
      </c>
      <c r="Q22" t="s">
        <v>353</v>
      </c>
      <c r="R22" t="s">
        <v>491</v>
      </c>
      <c r="S22" t="s">
        <v>248</v>
      </c>
      <c r="T22" t="s">
        <v>428</v>
      </c>
      <c r="U22" t="s">
        <v>127</v>
      </c>
      <c r="V22" t="s">
        <v>231</v>
      </c>
      <c r="W22" t="s">
        <v>429</v>
      </c>
      <c r="X22" t="s">
        <v>430</v>
      </c>
      <c r="Y22" t="s">
        <v>231</v>
      </c>
      <c r="Z22" t="s">
        <v>431</v>
      </c>
      <c r="AA22" t="s">
        <v>327</v>
      </c>
    </row>
    <row r="23" spans="1:27">
      <c r="A23" t="s">
        <v>492</v>
      </c>
      <c r="B23" s="1">
        <v>41461</v>
      </c>
      <c r="C23" t="s">
        <v>111</v>
      </c>
      <c r="D23" t="s">
        <v>112</v>
      </c>
      <c r="E23" t="s">
        <v>113</v>
      </c>
      <c r="F23" t="s">
        <v>114</v>
      </c>
      <c r="G23" t="s">
        <v>115</v>
      </c>
      <c r="H23" t="s">
        <v>116</v>
      </c>
      <c r="I23" t="s">
        <v>493</v>
      </c>
      <c r="J23" t="s">
        <v>118</v>
      </c>
      <c r="K23" t="s">
        <v>119</v>
      </c>
      <c r="L23" t="s">
        <v>120</v>
      </c>
      <c r="M23" t="s">
        <v>121</v>
      </c>
      <c r="N23" t="s">
        <v>122</v>
      </c>
      <c r="P23" t="s">
        <v>54</v>
      </c>
      <c r="Q23" t="s">
        <v>353</v>
      </c>
      <c r="R23" t="s">
        <v>494</v>
      </c>
      <c r="S23" t="s">
        <v>248</v>
      </c>
      <c r="T23" t="s">
        <v>428</v>
      </c>
      <c r="U23" t="s">
        <v>127</v>
      </c>
      <c r="V23" t="s">
        <v>231</v>
      </c>
      <c r="W23" t="s">
        <v>429</v>
      </c>
      <c r="X23" t="s">
        <v>430</v>
      </c>
      <c r="Y23" t="s">
        <v>231</v>
      </c>
      <c r="Z23" t="s">
        <v>431</v>
      </c>
      <c r="AA23" t="s">
        <v>327</v>
      </c>
    </row>
    <row r="24" spans="1:27">
      <c r="A24" t="s">
        <v>495</v>
      </c>
      <c r="B24" s="1">
        <v>41461</v>
      </c>
      <c r="C24" t="s">
        <v>111</v>
      </c>
      <c r="D24" t="s">
        <v>112</v>
      </c>
      <c r="E24" t="s">
        <v>113</v>
      </c>
      <c r="F24" t="s">
        <v>114</v>
      </c>
      <c r="G24" t="s">
        <v>115</v>
      </c>
      <c r="H24" t="s">
        <v>116</v>
      </c>
      <c r="I24" t="s">
        <v>496</v>
      </c>
      <c r="J24" t="s">
        <v>118</v>
      </c>
      <c r="K24" t="s">
        <v>119</v>
      </c>
      <c r="L24" t="s">
        <v>120</v>
      </c>
      <c r="M24" t="s">
        <v>121</v>
      </c>
      <c r="N24" t="s">
        <v>122</v>
      </c>
      <c r="P24" t="s">
        <v>54</v>
      </c>
      <c r="Q24" t="s">
        <v>353</v>
      </c>
      <c r="R24" t="s">
        <v>497</v>
      </c>
      <c r="S24" t="s">
        <v>248</v>
      </c>
      <c r="T24" t="s">
        <v>428</v>
      </c>
      <c r="U24" t="s">
        <v>127</v>
      </c>
      <c r="V24" t="s">
        <v>231</v>
      </c>
      <c r="W24" t="s">
        <v>429</v>
      </c>
      <c r="X24" t="s">
        <v>430</v>
      </c>
      <c r="Y24" t="s">
        <v>231</v>
      </c>
      <c r="Z24" t="s">
        <v>431</v>
      </c>
      <c r="AA24" t="s">
        <v>327</v>
      </c>
    </row>
    <row r="25" spans="1:27">
      <c r="A25" t="s">
        <v>498</v>
      </c>
      <c r="B25" s="1">
        <v>41461</v>
      </c>
      <c r="C25" t="s">
        <v>111</v>
      </c>
      <c r="D25" t="s">
        <v>112</v>
      </c>
      <c r="E25" t="s">
        <v>113</v>
      </c>
      <c r="F25" t="s">
        <v>114</v>
      </c>
      <c r="G25" t="s">
        <v>115</v>
      </c>
      <c r="H25" t="s">
        <v>116</v>
      </c>
      <c r="I25" t="s">
        <v>499</v>
      </c>
      <c r="J25" t="s">
        <v>118</v>
      </c>
      <c r="K25" t="s">
        <v>119</v>
      </c>
      <c r="L25" t="s">
        <v>120</v>
      </c>
      <c r="M25" t="s">
        <v>121</v>
      </c>
      <c r="N25" t="s">
        <v>122</v>
      </c>
      <c r="P25" t="s">
        <v>54</v>
      </c>
      <c r="Q25" t="s">
        <v>353</v>
      </c>
      <c r="R25" t="s">
        <v>500</v>
      </c>
      <c r="S25" t="s">
        <v>248</v>
      </c>
      <c r="T25" t="s">
        <v>428</v>
      </c>
      <c r="U25" t="s">
        <v>127</v>
      </c>
      <c r="V25" t="s">
        <v>231</v>
      </c>
      <c r="W25" t="s">
        <v>429</v>
      </c>
      <c r="X25" t="s">
        <v>430</v>
      </c>
      <c r="Y25" t="s">
        <v>231</v>
      </c>
      <c r="Z25" t="s">
        <v>431</v>
      </c>
      <c r="AA25" t="s">
        <v>327</v>
      </c>
    </row>
    <row r="26" spans="1:27">
      <c r="A26" t="s">
        <v>501</v>
      </c>
      <c r="B26" s="1">
        <v>41461</v>
      </c>
      <c r="C26" t="s">
        <v>111</v>
      </c>
      <c r="D26" t="s">
        <v>112</v>
      </c>
      <c r="E26" t="s">
        <v>113</v>
      </c>
      <c r="F26" t="s">
        <v>114</v>
      </c>
      <c r="G26" t="s">
        <v>115</v>
      </c>
      <c r="H26" t="s">
        <v>116</v>
      </c>
      <c r="I26" t="s">
        <v>502</v>
      </c>
      <c r="J26" t="s">
        <v>118</v>
      </c>
      <c r="K26" t="s">
        <v>119</v>
      </c>
      <c r="L26" t="s">
        <v>120</v>
      </c>
      <c r="M26" t="s">
        <v>121</v>
      </c>
      <c r="N26" t="s">
        <v>122</v>
      </c>
      <c r="P26" t="s">
        <v>54</v>
      </c>
      <c r="Q26" t="s">
        <v>353</v>
      </c>
      <c r="R26" t="s">
        <v>503</v>
      </c>
      <c r="S26" t="s">
        <v>248</v>
      </c>
      <c r="T26" t="s">
        <v>428</v>
      </c>
      <c r="U26" t="s">
        <v>127</v>
      </c>
      <c r="V26" t="s">
        <v>231</v>
      </c>
      <c r="W26" t="s">
        <v>429</v>
      </c>
      <c r="X26" t="s">
        <v>430</v>
      </c>
      <c r="Y26" t="s">
        <v>231</v>
      </c>
      <c r="Z26" t="s">
        <v>431</v>
      </c>
      <c r="AA26" t="s">
        <v>327</v>
      </c>
    </row>
    <row r="27" spans="1:27">
      <c r="A27" t="s">
        <v>504</v>
      </c>
      <c r="B27" s="1">
        <v>41461</v>
      </c>
      <c r="C27" t="s">
        <v>111</v>
      </c>
      <c r="D27" t="s">
        <v>112</v>
      </c>
      <c r="E27" t="s">
        <v>113</v>
      </c>
      <c r="F27" t="s">
        <v>114</v>
      </c>
      <c r="G27" t="s">
        <v>115</v>
      </c>
      <c r="H27" t="s">
        <v>116</v>
      </c>
      <c r="I27" t="s">
        <v>505</v>
      </c>
      <c r="J27" t="s">
        <v>118</v>
      </c>
      <c r="K27" t="s">
        <v>119</v>
      </c>
      <c r="L27" t="s">
        <v>120</v>
      </c>
      <c r="M27" t="s">
        <v>121</v>
      </c>
      <c r="N27" t="s">
        <v>122</v>
      </c>
      <c r="P27" t="s">
        <v>54</v>
      </c>
      <c r="Q27" t="s">
        <v>353</v>
      </c>
      <c r="R27" t="s">
        <v>506</v>
      </c>
      <c r="S27" t="s">
        <v>248</v>
      </c>
      <c r="T27" t="s">
        <v>428</v>
      </c>
      <c r="U27" t="s">
        <v>127</v>
      </c>
      <c r="V27" t="s">
        <v>231</v>
      </c>
      <c r="W27" t="s">
        <v>429</v>
      </c>
      <c r="X27" t="s">
        <v>430</v>
      </c>
      <c r="Y27" t="s">
        <v>231</v>
      </c>
      <c r="Z27" t="s">
        <v>431</v>
      </c>
      <c r="AA27" t="s">
        <v>327</v>
      </c>
    </row>
    <row r="28" spans="1:27">
      <c r="A28" t="s">
        <v>507</v>
      </c>
      <c r="B28" s="1">
        <v>41461</v>
      </c>
      <c r="C28" t="s">
        <v>111</v>
      </c>
      <c r="D28" t="s">
        <v>112</v>
      </c>
      <c r="E28" t="s">
        <v>113</v>
      </c>
      <c r="F28" t="s">
        <v>114</v>
      </c>
      <c r="G28" t="s">
        <v>115</v>
      </c>
      <c r="H28" t="s">
        <v>116</v>
      </c>
      <c r="I28" t="s">
        <v>508</v>
      </c>
      <c r="J28" t="s">
        <v>118</v>
      </c>
      <c r="K28" t="s">
        <v>119</v>
      </c>
      <c r="L28" t="s">
        <v>120</v>
      </c>
      <c r="M28" t="s">
        <v>121</v>
      </c>
      <c r="N28" t="s">
        <v>122</v>
      </c>
      <c r="P28" t="s">
        <v>54</v>
      </c>
      <c r="Q28" t="s">
        <v>353</v>
      </c>
      <c r="R28" t="s">
        <v>509</v>
      </c>
      <c r="S28" t="s">
        <v>248</v>
      </c>
      <c r="T28" t="s">
        <v>428</v>
      </c>
      <c r="U28" t="s">
        <v>127</v>
      </c>
      <c r="V28" t="s">
        <v>231</v>
      </c>
      <c r="W28" t="s">
        <v>429</v>
      </c>
      <c r="X28" t="s">
        <v>430</v>
      </c>
      <c r="Y28" t="s">
        <v>231</v>
      </c>
      <c r="Z28" t="s">
        <v>431</v>
      </c>
      <c r="AA28" t="s">
        <v>327</v>
      </c>
    </row>
    <row r="29" spans="1:27">
      <c r="A29" t="s">
        <v>510</v>
      </c>
      <c r="B29" s="1">
        <v>41461</v>
      </c>
      <c r="C29" t="s">
        <v>111</v>
      </c>
      <c r="D29" t="s">
        <v>112</v>
      </c>
      <c r="E29" t="s">
        <v>113</v>
      </c>
      <c r="F29" t="s">
        <v>114</v>
      </c>
      <c r="G29" t="s">
        <v>115</v>
      </c>
      <c r="H29" t="s">
        <v>116</v>
      </c>
      <c r="I29" t="s">
        <v>511</v>
      </c>
      <c r="J29" t="s">
        <v>118</v>
      </c>
      <c r="K29" t="s">
        <v>119</v>
      </c>
      <c r="L29" t="s">
        <v>120</v>
      </c>
      <c r="M29" t="s">
        <v>121</v>
      </c>
      <c r="N29" t="s">
        <v>122</v>
      </c>
      <c r="P29" t="s">
        <v>54</v>
      </c>
      <c r="Q29" t="s">
        <v>353</v>
      </c>
      <c r="R29" t="s">
        <v>512</v>
      </c>
      <c r="S29" t="s">
        <v>248</v>
      </c>
      <c r="T29" t="s">
        <v>428</v>
      </c>
      <c r="U29" t="s">
        <v>127</v>
      </c>
      <c r="V29" t="s">
        <v>231</v>
      </c>
      <c r="W29" t="s">
        <v>429</v>
      </c>
      <c r="X29" t="s">
        <v>430</v>
      </c>
      <c r="Y29" t="s">
        <v>231</v>
      </c>
      <c r="Z29" t="s">
        <v>431</v>
      </c>
      <c r="AA29" t="s">
        <v>327</v>
      </c>
    </row>
    <row r="30" spans="1:27">
      <c r="A30" t="s">
        <v>420</v>
      </c>
      <c r="B30" s="1">
        <v>41461</v>
      </c>
      <c r="C30" t="s">
        <v>111</v>
      </c>
      <c r="D30" t="s">
        <v>112</v>
      </c>
      <c r="E30" t="s">
        <v>113</v>
      </c>
      <c r="F30" t="s">
        <v>114</v>
      </c>
      <c r="G30" t="s">
        <v>115</v>
      </c>
      <c r="H30" t="s">
        <v>176</v>
      </c>
      <c r="I30" t="s">
        <v>421</v>
      </c>
      <c r="J30" t="s">
        <v>118</v>
      </c>
      <c r="K30" t="s">
        <v>119</v>
      </c>
      <c r="L30" t="s">
        <v>120</v>
      </c>
      <c r="M30" t="s">
        <v>121</v>
      </c>
      <c r="N30" t="s">
        <v>122</v>
      </c>
      <c r="P30" t="s">
        <v>53</v>
      </c>
      <c r="Q30" t="s">
        <v>422</v>
      </c>
      <c r="R30" t="s">
        <v>513</v>
      </c>
      <c r="S30" t="s">
        <v>264</v>
      </c>
      <c r="T30" t="s">
        <v>272</v>
      </c>
      <c r="U30" t="s">
        <v>127</v>
      </c>
      <c r="V30" t="s">
        <v>128</v>
      </c>
      <c r="W30" t="s">
        <v>514</v>
      </c>
      <c r="X30" t="s">
        <v>349</v>
      </c>
      <c r="Y30" t="s">
        <v>128</v>
      </c>
      <c r="Z30" t="s">
        <v>137</v>
      </c>
      <c r="AA30" t="s">
        <v>138</v>
      </c>
    </row>
    <row r="31" spans="1:27">
      <c r="A31" t="s">
        <v>515</v>
      </c>
      <c r="B31" s="1">
        <v>41461</v>
      </c>
      <c r="C31" t="s">
        <v>111</v>
      </c>
      <c r="D31" t="s">
        <v>112</v>
      </c>
      <c r="E31" t="s">
        <v>113</v>
      </c>
      <c r="F31" t="s">
        <v>114</v>
      </c>
      <c r="G31" t="s">
        <v>115</v>
      </c>
      <c r="H31" t="s">
        <v>116</v>
      </c>
      <c r="I31" t="s">
        <v>516</v>
      </c>
      <c r="J31" t="s">
        <v>118</v>
      </c>
      <c r="K31" t="s">
        <v>119</v>
      </c>
      <c r="L31" t="s">
        <v>120</v>
      </c>
      <c r="M31" t="s">
        <v>121</v>
      </c>
      <c r="N31" t="s">
        <v>122</v>
      </c>
      <c r="P31" t="s">
        <v>54</v>
      </c>
      <c r="Q31" t="s">
        <v>353</v>
      </c>
      <c r="R31" t="s">
        <v>427</v>
      </c>
      <c r="S31" t="s">
        <v>248</v>
      </c>
      <c r="T31" t="s">
        <v>428</v>
      </c>
      <c r="U31" t="s">
        <v>127</v>
      </c>
      <c r="V31" t="s">
        <v>231</v>
      </c>
      <c r="W31" t="s">
        <v>429</v>
      </c>
      <c r="X31" t="s">
        <v>430</v>
      </c>
      <c r="Y31" t="s">
        <v>231</v>
      </c>
      <c r="Z31" t="s">
        <v>431</v>
      </c>
      <c r="AA31" t="s">
        <v>327</v>
      </c>
    </row>
    <row r="32" spans="1:27">
      <c r="A32" t="s">
        <v>517</v>
      </c>
      <c r="B32" s="1">
        <v>41461</v>
      </c>
      <c r="C32" t="s">
        <v>111</v>
      </c>
      <c r="D32" t="s">
        <v>112</v>
      </c>
      <c r="E32" t="s">
        <v>113</v>
      </c>
      <c r="F32" t="s">
        <v>114</v>
      </c>
      <c r="G32" t="s">
        <v>115</v>
      </c>
      <c r="H32" t="s">
        <v>116</v>
      </c>
      <c r="I32" t="s">
        <v>518</v>
      </c>
      <c r="J32" t="s">
        <v>118</v>
      </c>
      <c r="K32" t="s">
        <v>119</v>
      </c>
      <c r="L32" t="s">
        <v>120</v>
      </c>
      <c r="M32" t="s">
        <v>121</v>
      </c>
      <c r="N32" t="s">
        <v>122</v>
      </c>
      <c r="P32" t="s">
        <v>54</v>
      </c>
      <c r="Q32" t="s">
        <v>353</v>
      </c>
      <c r="R32" t="s">
        <v>519</v>
      </c>
      <c r="S32" t="s">
        <v>248</v>
      </c>
      <c r="T32" t="s">
        <v>428</v>
      </c>
      <c r="U32" t="s">
        <v>127</v>
      </c>
      <c r="W32" t="s">
        <v>429</v>
      </c>
      <c r="X32" t="s">
        <v>430</v>
      </c>
      <c r="Y32" t="s">
        <v>231</v>
      </c>
      <c r="Z32" t="s">
        <v>431</v>
      </c>
      <c r="AA32" t="s">
        <v>327</v>
      </c>
    </row>
    <row r="33" spans="1:27">
      <c r="A33" t="s">
        <v>520</v>
      </c>
      <c r="B33" s="1">
        <v>41461</v>
      </c>
      <c r="C33" t="s">
        <v>111</v>
      </c>
      <c r="D33" t="s">
        <v>112</v>
      </c>
      <c r="E33" t="s">
        <v>113</v>
      </c>
      <c r="F33" t="s">
        <v>114</v>
      </c>
      <c r="G33" t="s">
        <v>115</v>
      </c>
      <c r="H33" t="s">
        <v>116</v>
      </c>
      <c r="I33" t="s">
        <v>521</v>
      </c>
      <c r="J33" t="s">
        <v>118</v>
      </c>
      <c r="K33" t="s">
        <v>119</v>
      </c>
      <c r="L33" t="s">
        <v>120</v>
      </c>
      <c r="M33" t="s">
        <v>121</v>
      </c>
      <c r="N33" t="s">
        <v>122</v>
      </c>
      <c r="P33" t="s">
        <v>54</v>
      </c>
      <c r="Q33" t="s">
        <v>353</v>
      </c>
      <c r="R33" t="s">
        <v>522</v>
      </c>
      <c r="S33" t="s">
        <v>248</v>
      </c>
      <c r="T33" t="s">
        <v>428</v>
      </c>
      <c r="U33" t="s">
        <v>127</v>
      </c>
      <c r="V33" t="s">
        <v>231</v>
      </c>
      <c r="W33" t="s">
        <v>429</v>
      </c>
      <c r="X33" t="s">
        <v>430</v>
      </c>
      <c r="Y33" t="s">
        <v>231</v>
      </c>
      <c r="Z33" t="s">
        <v>431</v>
      </c>
      <c r="AA33" t="s">
        <v>327</v>
      </c>
    </row>
    <row r="34" spans="1:27">
      <c r="A34" t="s">
        <v>523</v>
      </c>
      <c r="B34" s="1">
        <v>41461</v>
      </c>
      <c r="C34" t="s">
        <v>111</v>
      </c>
      <c r="D34" t="s">
        <v>112</v>
      </c>
      <c r="E34" t="s">
        <v>113</v>
      </c>
      <c r="F34" t="s">
        <v>114</v>
      </c>
      <c r="G34" t="s">
        <v>115</v>
      </c>
      <c r="H34" t="s">
        <v>116</v>
      </c>
      <c r="I34" t="s">
        <v>524</v>
      </c>
      <c r="J34" t="s">
        <v>118</v>
      </c>
      <c r="K34" t="s">
        <v>119</v>
      </c>
      <c r="L34" t="s">
        <v>120</v>
      </c>
      <c r="M34" t="s">
        <v>121</v>
      </c>
      <c r="N34" t="s">
        <v>122</v>
      </c>
      <c r="P34" t="s">
        <v>54</v>
      </c>
      <c r="Q34" t="s">
        <v>353</v>
      </c>
      <c r="R34" t="s">
        <v>365</v>
      </c>
      <c r="S34" t="s">
        <v>248</v>
      </c>
      <c r="T34" t="s">
        <v>428</v>
      </c>
      <c r="U34" t="s">
        <v>127</v>
      </c>
      <c r="V34" t="s">
        <v>231</v>
      </c>
      <c r="W34" t="s">
        <v>429</v>
      </c>
      <c r="X34" t="s">
        <v>430</v>
      </c>
      <c r="Y34" t="s">
        <v>231</v>
      </c>
      <c r="Z34" t="s">
        <v>431</v>
      </c>
      <c r="AA34" t="s">
        <v>327</v>
      </c>
    </row>
    <row r="35" spans="1:27">
      <c r="A35" t="s">
        <v>525</v>
      </c>
      <c r="B35" s="1">
        <v>41461</v>
      </c>
      <c r="C35" t="s">
        <v>111</v>
      </c>
      <c r="D35" t="s">
        <v>112</v>
      </c>
      <c r="E35" t="s">
        <v>113</v>
      </c>
      <c r="F35" t="s">
        <v>114</v>
      </c>
      <c r="G35" t="s">
        <v>115</v>
      </c>
      <c r="H35" t="s">
        <v>116</v>
      </c>
      <c r="I35" t="s">
        <v>526</v>
      </c>
      <c r="J35" t="s">
        <v>118</v>
      </c>
      <c r="K35" t="s">
        <v>119</v>
      </c>
      <c r="L35" t="s">
        <v>120</v>
      </c>
      <c r="M35" t="s">
        <v>121</v>
      </c>
      <c r="N35" t="s">
        <v>122</v>
      </c>
      <c r="P35" t="s">
        <v>54</v>
      </c>
      <c r="Q35" t="s">
        <v>353</v>
      </c>
      <c r="R35" t="s">
        <v>527</v>
      </c>
      <c r="S35" t="s">
        <v>248</v>
      </c>
      <c r="T35" t="s">
        <v>428</v>
      </c>
      <c r="U35" t="s">
        <v>127</v>
      </c>
      <c r="V35" t="s">
        <v>231</v>
      </c>
      <c r="W35" t="s">
        <v>429</v>
      </c>
      <c r="X35" t="s">
        <v>430</v>
      </c>
      <c r="Y35" t="s">
        <v>231</v>
      </c>
      <c r="Z35" t="s">
        <v>431</v>
      </c>
      <c r="AA35" t="s">
        <v>327</v>
      </c>
    </row>
    <row r="36" spans="1:27">
      <c r="A36" t="s">
        <v>528</v>
      </c>
      <c r="B36" s="1">
        <v>41461</v>
      </c>
      <c r="C36" t="s">
        <v>111</v>
      </c>
      <c r="D36" t="s">
        <v>112</v>
      </c>
      <c r="E36" t="s">
        <v>113</v>
      </c>
      <c r="F36" t="s">
        <v>114</v>
      </c>
      <c r="G36" t="s">
        <v>115</v>
      </c>
      <c r="H36" t="s">
        <v>116</v>
      </c>
      <c r="I36" t="s">
        <v>529</v>
      </c>
      <c r="J36" t="s">
        <v>118</v>
      </c>
      <c r="K36" t="s">
        <v>119</v>
      </c>
      <c r="L36" t="s">
        <v>120</v>
      </c>
      <c r="M36" t="s">
        <v>121</v>
      </c>
      <c r="N36" t="s">
        <v>122</v>
      </c>
      <c r="P36" t="s">
        <v>54</v>
      </c>
      <c r="Q36" t="s">
        <v>353</v>
      </c>
      <c r="R36" t="s">
        <v>530</v>
      </c>
      <c r="S36" t="s">
        <v>248</v>
      </c>
      <c r="T36" t="s">
        <v>428</v>
      </c>
      <c r="U36" t="s">
        <v>127</v>
      </c>
      <c r="V36" t="s">
        <v>231</v>
      </c>
      <c r="W36" t="s">
        <v>429</v>
      </c>
      <c r="X36" t="s">
        <v>430</v>
      </c>
      <c r="Y36" t="s">
        <v>231</v>
      </c>
      <c r="Z36" t="s">
        <v>431</v>
      </c>
      <c r="AA36" t="s">
        <v>327</v>
      </c>
    </row>
    <row r="37" spans="1:27">
      <c r="A37" t="s">
        <v>531</v>
      </c>
      <c r="B37" s="1">
        <v>41461</v>
      </c>
      <c r="C37" t="s">
        <v>111</v>
      </c>
      <c r="D37" t="s">
        <v>112</v>
      </c>
      <c r="E37" t="s">
        <v>113</v>
      </c>
      <c r="F37" t="s">
        <v>114</v>
      </c>
      <c r="G37" t="s">
        <v>115</v>
      </c>
      <c r="H37" t="s">
        <v>116</v>
      </c>
      <c r="I37" t="s">
        <v>532</v>
      </c>
      <c r="J37" t="s">
        <v>118</v>
      </c>
      <c r="K37" t="s">
        <v>119</v>
      </c>
      <c r="L37" t="s">
        <v>120</v>
      </c>
      <c r="M37" t="s">
        <v>121</v>
      </c>
      <c r="N37" t="s">
        <v>122</v>
      </c>
      <c r="P37" t="s">
        <v>54</v>
      </c>
      <c r="Q37" t="s">
        <v>353</v>
      </c>
      <c r="R37" t="s">
        <v>533</v>
      </c>
      <c r="S37" t="s">
        <v>248</v>
      </c>
      <c r="T37" t="s">
        <v>428</v>
      </c>
      <c r="U37" t="s">
        <v>127</v>
      </c>
      <c r="V37" t="s">
        <v>231</v>
      </c>
      <c r="W37" t="s">
        <v>429</v>
      </c>
      <c r="X37" t="s">
        <v>430</v>
      </c>
      <c r="Y37" t="s">
        <v>231</v>
      </c>
      <c r="Z37" t="s">
        <v>431</v>
      </c>
      <c r="AA37" t="s">
        <v>327</v>
      </c>
    </row>
    <row r="38" spans="1:27">
      <c r="A38" t="s">
        <v>534</v>
      </c>
      <c r="B38" s="1">
        <v>41461</v>
      </c>
      <c r="C38" t="s">
        <v>111</v>
      </c>
      <c r="D38" t="s">
        <v>112</v>
      </c>
      <c r="E38" t="s">
        <v>113</v>
      </c>
      <c r="F38" t="s">
        <v>114</v>
      </c>
      <c r="G38" t="s">
        <v>115</v>
      </c>
      <c r="H38" t="s">
        <v>116</v>
      </c>
      <c r="I38" t="s">
        <v>535</v>
      </c>
      <c r="J38" t="s">
        <v>118</v>
      </c>
      <c r="K38" t="s">
        <v>119</v>
      </c>
      <c r="L38" t="s">
        <v>120</v>
      </c>
      <c r="M38" t="s">
        <v>121</v>
      </c>
      <c r="N38" t="s">
        <v>122</v>
      </c>
      <c r="P38" t="s">
        <v>54</v>
      </c>
      <c r="Q38" t="s">
        <v>353</v>
      </c>
      <c r="R38" t="s">
        <v>503</v>
      </c>
      <c r="S38" t="s">
        <v>248</v>
      </c>
      <c r="T38" t="s">
        <v>428</v>
      </c>
      <c r="U38" t="s">
        <v>127</v>
      </c>
      <c r="V38" t="s">
        <v>231</v>
      </c>
      <c r="W38" t="s">
        <v>429</v>
      </c>
      <c r="X38" t="s">
        <v>430</v>
      </c>
      <c r="Y38" t="s">
        <v>231</v>
      </c>
      <c r="Z38" t="s">
        <v>431</v>
      </c>
      <c r="AA38" t="s">
        <v>327</v>
      </c>
    </row>
    <row r="39" spans="1:27">
      <c r="A39" t="s">
        <v>536</v>
      </c>
      <c r="B39" s="1">
        <v>41461</v>
      </c>
      <c r="C39" t="s">
        <v>111</v>
      </c>
      <c r="D39" t="s">
        <v>112</v>
      </c>
      <c r="E39" t="s">
        <v>113</v>
      </c>
      <c r="F39" t="s">
        <v>114</v>
      </c>
      <c r="G39" t="s">
        <v>115</v>
      </c>
      <c r="H39" t="s">
        <v>116</v>
      </c>
      <c r="I39" t="s">
        <v>537</v>
      </c>
      <c r="J39" t="s">
        <v>118</v>
      </c>
      <c r="K39" t="s">
        <v>119</v>
      </c>
      <c r="L39" t="s">
        <v>120</v>
      </c>
      <c r="M39" t="s">
        <v>121</v>
      </c>
      <c r="N39" t="s">
        <v>122</v>
      </c>
      <c r="P39" t="s">
        <v>54</v>
      </c>
      <c r="Q39" t="s">
        <v>353</v>
      </c>
      <c r="R39" t="s">
        <v>538</v>
      </c>
      <c r="S39" t="s">
        <v>248</v>
      </c>
      <c r="T39" t="s">
        <v>428</v>
      </c>
      <c r="U39" t="s">
        <v>127</v>
      </c>
      <c r="V39" t="s">
        <v>231</v>
      </c>
      <c r="W39" t="s">
        <v>429</v>
      </c>
      <c r="X39" t="s">
        <v>430</v>
      </c>
      <c r="Y39" t="s">
        <v>231</v>
      </c>
      <c r="Z39" t="s">
        <v>431</v>
      </c>
      <c r="AA39" t="s">
        <v>327</v>
      </c>
    </row>
    <row r="40" spans="1:27">
      <c r="A40" t="s">
        <v>539</v>
      </c>
      <c r="B40" s="1">
        <v>41461</v>
      </c>
      <c r="C40" t="s">
        <v>111</v>
      </c>
      <c r="D40" t="s">
        <v>112</v>
      </c>
      <c r="E40" t="s">
        <v>113</v>
      </c>
      <c r="F40" t="s">
        <v>114</v>
      </c>
      <c r="G40" t="s">
        <v>115</v>
      </c>
      <c r="H40" t="s">
        <v>116</v>
      </c>
      <c r="I40" t="s">
        <v>540</v>
      </c>
      <c r="J40" t="s">
        <v>118</v>
      </c>
      <c r="K40" t="s">
        <v>119</v>
      </c>
      <c r="L40" t="s">
        <v>120</v>
      </c>
      <c r="M40" t="s">
        <v>121</v>
      </c>
      <c r="N40" t="s">
        <v>122</v>
      </c>
      <c r="P40" t="s">
        <v>54</v>
      </c>
      <c r="Q40" t="s">
        <v>353</v>
      </c>
      <c r="R40" t="s">
        <v>541</v>
      </c>
      <c r="S40" t="s">
        <v>248</v>
      </c>
      <c r="T40" t="s">
        <v>428</v>
      </c>
      <c r="U40" t="s">
        <v>127</v>
      </c>
      <c r="V40" t="s">
        <v>231</v>
      </c>
      <c r="W40" t="s">
        <v>429</v>
      </c>
      <c r="X40" t="s">
        <v>430</v>
      </c>
      <c r="Y40" t="s">
        <v>231</v>
      </c>
      <c r="Z40" t="s">
        <v>431</v>
      </c>
      <c r="AA40" t="s">
        <v>327</v>
      </c>
    </row>
    <row r="41" spans="1:27">
      <c r="A41" t="s">
        <v>542</v>
      </c>
      <c r="B41" s="1">
        <v>41461</v>
      </c>
      <c r="C41" t="s">
        <v>111</v>
      </c>
      <c r="D41" t="s">
        <v>112</v>
      </c>
      <c r="E41" t="s">
        <v>113</v>
      </c>
      <c r="F41" t="s">
        <v>114</v>
      </c>
      <c r="G41" t="s">
        <v>115</v>
      </c>
      <c r="H41" t="s">
        <v>116</v>
      </c>
      <c r="I41" t="s">
        <v>543</v>
      </c>
      <c r="J41" t="s">
        <v>118</v>
      </c>
      <c r="K41" t="s">
        <v>119</v>
      </c>
      <c r="L41" t="s">
        <v>120</v>
      </c>
      <c r="M41" t="s">
        <v>121</v>
      </c>
      <c r="N41" t="s">
        <v>122</v>
      </c>
      <c r="P41" t="s">
        <v>54</v>
      </c>
      <c r="Q41" t="s">
        <v>353</v>
      </c>
      <c r="R41" t="s">
        <v>544</v>
      </c>
      <c r="S41" t="s">
        <v>248</v>
      </c>
      <c r="T41" t="s">
        <v>428</v>
      </c>
      <c r="U41" t="s">
        <v>127</v>
      </c>
      <c r="V41" t="s">
        <v>231</v>
      </c>
      <c r="W41" t="s">
        <v>429</v>
      </c>
      <c r="X41" t="s">
        <v>430</v>
      </c>
      <c r="Y41" t="s">
        <v>231</v>
      </c>
      <c r="Z41" t="s">
        <v>431</v>
      </c>
      <c r="AA41" t="s">
        <v>327</v>
      </c>
    </row>
    <row r="42" spans="1:27">
      <c r="A42" t="s">
        <v>545</v>
      </c>
      <c r="B42" s="1">
        <v>41461</v>
      </c>
      <c r="C42" t="s">
        <v>111</v>
      </c>
      <c r="D42" t="s">
        <v>112</v>
      </c>
      <c r="E42" t="s">
        <v>113</v>
      </c>
      <c r="F42" t="s">
        <v>114</v>
      </c>
      <c r="G42" t="s">
        <v>115</v>
      </c>
      <c r="H42" t="s">
        <v>116</v>
      </c>
      <c r="I42" t="s">
        <v>546</v>
      </c>
      <c r="J42" t="s">
        <v>118</v>
      </c>
      <c r="K42" t="s">
        <v>119</v>
      </c>
      <c r="L42" t="s">
        <v>120</v>
      </c>
      <c r="M42" t="s">
        <v>121</v>
      </c>
      <c r="N42" t="s">
        <v>122</v>
      </c>
      <c r="P42" t="s">
        <v>54</v>
      </c>
      <c r="Q42" t="s">
        <v>353</v>
      </c>
      <c r="R42" t="s">
        <v>547</v>
      </c>
      <c r="S42" t="s">
        <v>248</v>
      </c>
      <c r="T42" t="s">
        <v>428</v>
      </c>
      <c r="U42" t="s">
        <v>127</v>
      </c>
      <c r="V42" t="s">
        <v>231</v>
      </c>
      <c r="W42" t="s">
        <v>429</v>
      </c>
      <c r="X42" t="s">
        <v>430</v>
      </c>
      <c r="Y42" t="s">
        <v>231</v>
      </c>
      <c r="Z42" t="s">
        <v>431</v>
      </c>
      <c r="AA42" t="s">
        <v>327</v>
      </c>
    </row>
    <row r="43" spans="1:27">
      <c r="A43" t="s">
        <v>548</v>
      </c>
      <c r="B43" s="1">
        <v>41461</v>
      </c>
      <c r="C43" t="s">
        <v>111</v>
      </c>
      <c r="D43" t="s">
        <v>112</v>
      </c>
      <c r="E43" t="s">
        <v>113</v>
      </c>
      <c r="F43" t="s">
        <v>114</v>
      </c>
      <c r="G43" t="s">
        <v>115</v>
      </c>
      <c r="H43" t="s">
        <v>116</v>
      </c>
      <c r="I43" t="s">
        <v>549</v>
      </c>
      <c r="J43" t="s">
        <v>118</v>
      </c>
      <c r="K43" t="s">
        <v>119</v>
      </c>
      <c r="L43" t="s">
        <v>120</v>
      </c>
      <c r="M43" t="s">
        <v>121</v>
      </c>
      <c r="N43" t="s">
        <v>122</v>
      </c>
      <c r="P43" t="s">
        <v>54</v>
      </c>
      <c r="Q43" t="s">
        <v>353</v>
      </c>
      <c r="R43" t="s">
        <v>550</v>
      </c>
      <c r="S43" t="s">
        <v>248</v>
      </c>
      <c r="T43" t="s">
        <v>428</v>
      </c>
      <c r="U43" t="s">
        <v>127</v>
      </c>
      <c r="V43" t="s">
        <v>231</v>
      </c>
      <c r="W43" t="s">
        <v>429</v>
      </c>
      <c r="X43" t="s">
        <v>430</v>
      </c>
      <c r="Y43" t="s">
        <v>231</v>
      </c>
      <c r="Z43" t="s">
        <v>431</v>
      </c>
      <c r="AA43" t="s">
        <v>327</v>
      </c>
    </row>
    <row r="44" spans="1:27">
      <c r="A44" t="s">
        <v>551</v>
      </c>
      <c r="B44" s="1">
        <v>41461</v>
      </c>
      <c r="C44" t="s">
        <v>111</v>
      </c>
      <c r="D44" t="s">
        <v>112</v>
      </c>
      <c r="E44" t="s">
        <v>113</v>
      </c>
      <c r="F44" t="s">
        <v>114</v>
      </c>
      <c r="G44" t="s">
        <v>115</v>
      </c>
      <c r="H44" t="s">
        <v>116</v>
      </c>
      <c r="I44" t="s">
        <v>552</v>
      </c>
      <c r="J44" t="s">
        <v>118</v>
      </c>
      <c r="K44" t="s">
        <v>119</v>
      </c>
      <c r="L44" t="s">
        <v>120</v>
      </c>
      <c r="M44" t="s">
        <v>121</v>
      </c>
      <c r="N44" t="s">
        <v>122</v>
      </c>
      <c r="P44" t="s">
        <v>54</v>
      </c>
      <c r="Q44" t="s">
        <v>353</v>
      </c>
      <c r="R44" t="s">
        <v>553</v>
      </c>
      <c r="S44" t="s">
        <v>248</v>
      </c>
      <c r="T44" t="s">
        <v>428</v>
      </c>
      <c r="U44" t="s">
        <v>127</v>
      </c>
      <c r="V44" t="s">
        <v>231</v>
      </c>
      <c r="W44" t="s">
        <v>429</v>
      </c>
      <c r="X44" t="s">
        <v>430</v>
      </c>
      <c r="Y44" t="s">
        <v>231</v>
      </c>
      <c r="Z44" t="s">
        <v>431</v>
      </c>
      <c r="AA44" t="s">
        <v>327</v>
      </c>
    </row>
    <row r="45" spans="1:27">
      <c r="A45" t="s">
        <v>554</v>
      </c>
      <c r="B45" s="1">
        <v>41461</v>
      </c>
      <c r="C45" t="s">
        <v>111</v>
      </c>
      <c r="D45" t="s">
        <v>112</v>
      </c>
      <c r="E45" t="s">
        <v>113</v>
      </c>
      <c r="F45" t="s">
        <v>114</v>
      </c>
      <c r="G45" t="s">
        <v>115</v>
      </c>
      <c r="H45" t="s">
        <v>116</v>
      </c>
      <c r="I45" t="s">
        <v>555</v>
      </c>
      <c r="J45" t="s">
        <v>118</v>
      </c>
      <c r="K45" t="s">
        <v>119</v>
      </c>
      <c r="L45" t="s">
        <v>120</v>
      </c>
      <c r="M45" t="s">
        <v>121</v>
      </c>
      <c r="N45" t="s">
        <v>122</v>
      </c>
      <c r="P45" t="s">
        <v>54</v>
      </c>
      <c r="Q45" t="s">
        <v>353</v>
      </c>
      <c r="R45" t="s">
        <v>556</v>
      </c>
      <c r="S45" t="s">
        <v>248</v>
      </c>
      <c r="T45" t="s">
        <v>428</v>
      </c>
      <c r="U45" t="s">
        <v>127</v>
      </c>
      <c r="V45" t="s">
        <v>231</v>
      </c>
      <c r="W45" t="s">
        <v>429</v>
      </c>
      <c r="X45" t="s">
        <v>430</v>
      </c>
      <c r="Y45" t="s">
        <v>231</v>
      </c>
      <c r="Z45" t="s">
        <v>431</v>
      </c>
      <c r="AA45" t="s">
        <v>327</v>
      </c>
    </row>
    <row r="46" spans="1:27">
      <c r="A46" t="s">
        <v>557</v>
      </c>
      <c r="B46" s="1">
        <v>41461</v>
      </c>
      <c r="C46" t="s">
        <v>111</v>
      </c>
      <c r="D46" t="s">
        <v>112</v>
      </c>
      <c r="E46" t="s">
        <v>113</v>
      </c>
      <c r="F46" t="s">
        <v>114</v>
      </c>
      <c r="G46" t="s">
        <v>115</v>
      </c>
      <c r="H46" t="s">
        <v>116</v>
      </c>
      <c r="I46" t="s">
        <v>558</v>
      </c>
      <c r="J46" t="s">
        <v>118</v>
      </c>
      <c r="K46" t="s">
        <v>119</v>
      </c>
      <c r="L46" t="s">
        <v>120</v>
      </c>
      <c r="M46" t="s">
        <v>121</v>
      </c>
      <c r="N46" t="s">
        <v>122</v>
      </c>
      <c r="P46" t="s">
        <v>54</v>
      </c>
      <c r="Q46" t="s">
        <v>353</v>
      </c>
      <c r="R46" t="s">
        <v>559</v>
      </c>
      <c r="S46" t="s">
        <v>248</v>
      </c>
      <c r="T46" t="s">
        <v>428</v>
      </c>
      <c r="U46" t="s">
        <v>127</v>
      </c>
      <c r="V46" t="s">
        <v>231</v>
      </c>
      <c r="W46" t="s">
        <v>429</v>
      </c>
      <c r="X46" t="s">
        <v>430</v>
      </c>
      <c r="Y46" t="s">
        <v>231</v>
      </c>
      <c r="Z46" t="s">
        <v>431</v>
      </c>
      <c r="AA46" t="s">
        <v>327</v>
      </c>
    </row>
    <row r="47" spans="1:27">
      <c r="A47" t="s">
        <v>560</v>
      </c>
      <c r="B47" s="1">
        <v>41461</v>
      </c>
      <c r="C47" t="s">
        <v>111</v>
      </c>
      <c r="D47" t="s">
        <v>112</v>
      </c>
      <c r="E47" t="s">
        <v>113</v>
      </c>
      <c r="F47" t="s">
        <v>114</v>
      </c>
      <c r="G47" t="s">
        <v>115</v>
      </c>
      <c r="H47" t="s">
        <v>116</v>
      </c>
      <c r="I47" t="s">
        <v>561</v>
      </c>
      <c r="J47" t="s">
        <v>118</v>
      </c>
      <c r="K47" t="s">
        <v>119</v>
      </c>
      <c r="L47" t="s">
        <v>120</v>
      </c>
      <c r="M47" t="s">
        <v>121</v>
      </c>
      <c r="N47" t="s">
        <v>122</v>
      </c>
      <c r="P47" t="s">
        <v>54</v>
      </c>
      <c r="Q47" t="s">
        <v>353</v>
      </c>
      <c r="R47" t="s">
        <v>562</v>
      </c>
      <c r="S47" t="s">
        <v>248</v>
      </c>
      <c r="T47" t="s">
        <v>428</v>
      </c>
      <c r="U47" t="s">
        <v>127</v>
      </c>
      <c r="V47" t="s">
        <v>231</v>
      </c>
      <c r="W47" t="s">
        <v>429</v>
      </c>
      <c r="X47" t="s">
        <v>430</v>
      </c>
      <c r="Y47" t="s">
        <v>231</v>
      </c>
      <c r="Z47" t="s">
        <v>431</v>
      </c>
      <c r="AA47" t="s">
        <v>327</v>
      </c>
    </row>
    <row r="48" spans="1:27">
      <c r="A48" t="s">
        <v>563</v>
      </c>
      <c r="B48" s="1">
        <v>41461</v>
      </c>
      <c r="C48" t="s">
        <v>111</v>
      </c>
      <c r="D48" t="s">
        <v>112</v>
      </c>
      <c r="E48" t="s">
        <v>113</v>
      </c>
      <c r="F48" t="s">
        <v>114</v>
      </c>
      <c r="G48" t="s">
        <v>115</v>
      </c>
      <c r="H48" t="s">
        <v>116</v>
      </c>
      <c r="I48" t="s">
        <v>564</v>
      </c>
      <c r="J48" t="s">
        <v>118</v>
      </c>
      <c r="K48" t="s">
        <v>119</v>
      </c>
      <c r="L48" t="s">
        <v>120</v>
      </c>
      <c r="M48" t="s">
        <v>121</v>
      </c>
      <c r="N48" t="s">
        <v>122</v>
      </c>
      <c r="P48" t="s">
        <v>54</v>
      </c>
      <c r="Q48" t="s">
        <v>353</v>
      </c>
      <c r="R48" t="s">
        <v>565</v>
      </c>
      <c r="S48" t="s">
        <v>248</v>
      </c>
      <c r="T48" t="s">
        <v>428</v>
      </c>
      <c r="U48" t="s">
        <v>127</v>
      </c>
      <c r="V48" t="s">
        <v>231</v>
      </c>
      <c r="W48" t="s">
        <v>429</v>
      </c>
      <c r="X48" t="s">
        <v>430</v>
      </c>
      <c r="Y48" t="s">
        <v>231</v>
      </c>
      <c r="Z48" t="s">
        <v>431</v>
      </c>
      <c r="AA48" t="s">
        <v>327</v>
      </c>
    </row>
    <row r="49" spans="1:27">
      <c r="A49" t="s">
        <v>566</v>
      </c>
      <c r="B49" s="1">
        <v>41461</v>
      </c>
      <c r="C49" t="s">
        <v>111</v>
      </c>
      <c r="D49" t="s">
        <v>112</v>
      </c>
      <c r="E49" t="s">
        <v>113</v>
      </c>
      <c r="F49" t="s">
        <v>114</v>
      </c>
      <c r="G49" t="s">
        <v>115</v>
      </c>
      <c r="H49" t="s">
        <v>116</v>
      </c>
      <c r="I49" t="s">
        <v>567</v>
      </c>
      <c r="J49" t="s">
        <v>118</v>
      </c>
      <c r="K49" t="s">
        <v>119</v>
      </c>
      <c r="L49" t="s">
        <v>120</v>
      </c>
      <c r="M49" t="s">
        <v>121</v>
      </c>
      <c r="N49" t="s">
        <v>122</v>
      </c>
      <c r="P49" t="s">
        <v>54</v>
      </c>
      <c r="Q49" t="s">
        <v>353</v>
      </c>
      <c r="R49" t="s">
        <v>568</v>
      </c>
      <c r="S49" t="s">
        <v>248</v>
      </c>
      <c r="T49" t="s">
        <v>428</v>
      </c>
      <c r="U49" t="s">
        <v>127</v>
      </c>
      <c r="V49" t="s">
        <v>231</v>
      </c>
      <c r="W49" t="s">
        <v>429</v>
      </c>
      <c r="X49" t="s">
        <v>430</v>
      </c>
      <c r="Y49" t="s">
        <v>231</v>
      </c>
      <c r="Z49" t="s">
        <v>431</v>
      </c>
      <c r="AA49" t="s">
        <v>327</v>
      </c>
    </row>
    <row r="50" spans="1:27">
      <c r="A50" t="s">
        <v>569</v>
      </c>
      <c r="B50" s="1">
        <v>41461</v>
      </c>
      <c r="C50" t="s">
        <v>111</v>
      </c>
      <c r="D50" t="s">
        <v>112</v>
      </c>
      <c r="E50" t="s">
        <v>113</v>
      </c>
      <c r="F50" t="s">
        <v>114</v>
      </c>
      <c r="G50" t="s">
        <v>115</v>
      </c>
      <c r="H50" t="s">
        <v>116</v>
      </c>
      <c r="I50" t="s">
        <v>570</v>
      </c>
      <c r="J50" t="s">
        <v>118</v>
      </c>
      <c r="K50" t="s">
        <v>119</v>
      </c>
      <c r="L50" t="s">
        <v>120</v>
      </c>
      <c r="M50" t="s">
        <v>121</v>
      </c>
      <c r="N50" t="s">
        <v>122</v>
      </c>
      <c r="P50" t="s">
        <v>54</v>
      </c>
      <c r="Q50" t="s">
        <v>353</v>
      </c>
      <c r="R50" t="s">
        <v>571</v>
      </c>
      <c r="S50" t="s">
        <v>248</v>
      </c>
      <c r="T50" t="s">
        <v>428</v>
      </c>
      <c r="U50" t="s">
        <v>127</v>
      </c>
      <c r="V50" t="s">
        <v>231</v>
      </c>
      <c r="W50" t="s">
        <v>429</v>
      </c>
      <c r="X50" t="s">
        <v>430</v>
      </c>
      <c r="Y50" t="s">
        <v>231</v>
      </c>
      <c r="Z50" t="s">
        <v>431</v>
      </c>
      <c r="AA50" t="s">
        <v>327</v>
      </c>
    </row>
    <row r="51" spans="1:27">
      <c r="A51" t="s">
        <v>572</v>
      </c>
      <c r="B51" s="1">
        <v>41461</v>
      </c>
      <c r="C51" t="s">
        <v>111</v>
      </c>
      <c r="D51" t="s">
        <v>112</v>
      </c>
      <c r="E51" t="s">
        <v>113</v>
      </c>
      <c r="F51" t="s">
        <v>114</v>
      </c>
      <c r="G51" t="s">
        <v>115</v>
      </c>
      <c r="H51" t="s">
        <v>116</v>
      </c>
      <c r="I51" t="s">
        <v>573</v>
      </c>
      <c r="J51" t="s">
        <v>118</v>
      </c>
      <c r="K51" t="s">
        <v>119</v>
      </c>
      <c r="L51" t="s">
        <v>120</v>
      </c>
      <c r="M51" t="s">
        <v>121</v>
      </c>
      <c r="N51" t="s">
        <v>122</v>
      </c>
      <c r="P51" t="s">
        <v>54</v>
      </c>
      <c r="Q51" t="s">
        <v>353</v>
      </c>
      <c r="R51" t="s">
        <v>574</v>
      </c>
      <c r="S51" t="s">
        <v>248</v>
      </c>
      <c r="T51" t="s">
        <v>428</v>
      </c>
      <c r="U51" t="s">
        <v>127</v>
      </c>
      <c r="V51" t="s">
        <v>231</v>
      </c>
      <c r="W51" t="s">
        <v>429</v>
      </c>
      <c r="X51" t="s">
        <v>430</v>
      </c>
      <c r="Y51" t="s">
        <v>231</v>
      </c>
      <c r="Z51" t="s">
        <v>431</v>
      </c>
      <c r="AA51" t="s">
        <v>327</v>
      </c>
    </row>
    <row r="52" spans="1:27">
      <c r="A52" t="s">
        <v>575</v>
      </c>
      <c r="B52" s="1">
        <v>41461</v>
      </c>
      <c r="C52" t="s">
        <v>111</v>
      </c>
      <c r="D52" t="s">
        <v>112</v>
      </c>
      <c r="E52" t="s">
        <v>113</v>
      </c>
      <c r="F52" t="s">
        <v>114</v>
      </c>
      <c r="G52" t="s">
        <v>115</v>
      </c>
      <c r="H52" t="s">
        <v>116</v>
      </c>
      <c r="I52" t="s">
        <v>576</v>
      </c>
      <c r="J52" t="s">
        <v>118</v>
      </c>
      <c r="K52" t="s">
        <v>119</v>
      </c>
      <c r="L52" t="s">
        <v>120</v>
      </c>
      <c r="M52" t="s">
        <v>121</v>
      </c>
      <c r="N52" t="s">
        <v>122</v>
      </c>
      <c r="P52" t="s">
        <v>54</v>
      </c>
      <c r="Q52" t="s">
        <v>353</v>
      </c>
      <c r="R52" t="s">
        <v>577</v>
      </c>
      <c r="S52" t="s">
        <v>248</v>
      </c>
      <c r="T52" t="s">
        <v>428</v>
      </c>
      <c r="U52" t="s">
        <v>127</v>
      </c>
      <c r="V52" t="s">
        <v>231</v>
      </c>
      <c r="W52" t="s">
        <v>429</v>
      </c>
      <c r="X52" t="s">
        <v>430</v>
      </c>
      <c r="Y52" t="s">
        <v>231</v>
      </c>
      <c r="Z52" t="s">
        <v>431</v>
      </c>
      <c r="AA52" t="s">
        <v>327</v>
      </c>
    </row>
    <row r="53" spans="1:27">
      <c r="A53" t="s">
        <v>578</v>
      </c>
      <c r="B53" s="1">
        <v>41461</v>
      </c>
      <c r="C53" t="s">
        <v>111</v>
      </c>
      <c r="D53" t="s">
        <v>112</v>
      </c>
      <c r="E53" t="s">
        <v>113</v>
      </c>
      <c r="F53" t="s">
        <v>114</v>
      </c>
      <c r="G53" t="s">
        <v>115</v>
      </c>
      <c r="I53" t="s">
        <v>579</v>
      </c>
      <c r="J53" t="s">
        <v>118</v>
      </c>
      <c r="K53" t="s">
        <v>119</v>
      </c>
      <c r="L53" t="s">
        <v>120</v>
      </c>
      <c r="M53" t="s">
        <v>121</v>
      </c>
      <c r="N53" t="s">
        <v>193</v>
      </c>
      <c r="O53" t="s">
        <v>64</v>
      </c>
      <c r="P53" t="s">
        <v>53</v>
      </c>
      <c r="Q53" t="s">
        <v>580</v>
      </c>
      <c r="R53" t="s">
        <v>581</v>
      </c>
      <c r="S53" t="s">
        <v>200</v>
      </c>
      <c r="T53" t="s">
        <v>582</v>
      </c>
      <c r="U53" t="s">
        <v>286</v>
      </c>
      <c r="W53" t="s">
        <v>583</v>
      </c>
      <c r="X53" t="s">
        <v>349</v>
      </c>
      <c r="Y53" t="s">
        <v>195</v>
      </c>
      <c r="Z53" t="s">
        <v>196</v>
      </c>
      <c r="AA53" t="s">
        <v>209</v>
      </c>
    </row>
    <row r="54" spans="1:27">
      <c r="A54" t="s">
        <v>584</v>
      </c>
      <c r="B54" s="1">
        <v>41461</v>
      </c>
      <c r="C54" t="s">
        <v>111</v>
      </c>
      <c r="D54" t="s">
        <v>112</v>
      </c>
      <c r="E54" t="s">
        <v>113</v>
      </c>
      <c r="F54" t="s">
        <v>114</v>
      </c>
      <c r="G54" t="s">
        <v>115</v>
      </c>
      <c r="I54" t="s">
        <v>585</v>
      </c>
      <c r="J54" t="s">
        <v>118</v>
      </c>
      <c r="K54" t="s">
        <v>119</v>
      </c>
      <c r="L54" t="s">
        <v>120</v>
      </c>
      <c r="M54" t="s">
        <v>121</v>
      </c>
      <c r="N54" t="s">
        <v>419</v>
      </c>
      <c r="P54" t="s">
        <v>53</v>
      </c>
      <c r="Q54" t="s">
        <v>586</v>
      </c>
      <c r="S54" t="s">
        <v>168</v>
      </c>
      <c r="T54" t="s">
        <v>587</v>
      </c>
      <c r="W54" t="s">
        <v>129</v>
      </c>
      <c r="X54" t="s">
        <v>588</v>
      </c>
      <c r="Z54" t="s">
        <v>589</v>
      </c>
      <c r="AA54" t="s">
        <v>132</v>
      </c>
    </row>
    <row r="55" spans="1:27">
      <c r="A55" t="s">
        <v>591</v>
      </c>
      <c r="B55" s="1">
        <v>41461</v>
      </c>
      <c r="C55" t="s">
        <v>111</v>
      </c>
      <c r="D55" t="s">
        <v>112</v>
      </c>
      <c r="E55" t="s">
        <v>113</v>
      </c>
      <c r="F55" t="s">
        <v>114</v>
      </c>
      <c r="G55" t="s">
        <v>115</v>
      </c>
      <c r="I55" t="s">
        <v>592</v>
      </c>
      <c r="J55" t="s">
        <v>118</v>
      </c>
      <c r="K55" t="s">
        <v>119</v>
      </c>
      <c r="L55" t="s">
        <v>120</v>
      </c>
      <c r="M55" t="s">
        <v>121</v>
      </c>
      <c r="N55" t="s">
        <v>199</v>
      </c>
      <c r="O55" t="s">
        <v>3</v>
      </c>
      <c r="P55" t="s">
        <v>52</v>
      </c>
      <c r="Q55" t="s">
        <v>123</v>
      </c>
      <c r="S55" t="s">
        <v>125</v>
      </c>
      <c r="T55" t="s">
        <v>126</v>
      </c>
      <c r="W55" t="s">
        <v>129</v>
      </c>
      <c r="X55" t="s">
        <v>224</v>
      </c>
      <c r="Z55" t="s">
        <v>593</v>
      </c>
      <c r="AA55" t="s">
        <v>132</v>
      </c>
    </row>
    <row r="56" spans="1:27">
      <c r="A56" t="s">
        <v>594</v>
      </c>
      <c r="B56" s="1">
        <v>41461</v>
      </c>
      <c r="C56" t="s">
        <v>111</v>
      </c>
      <c r="D56" t="s">
        <v>112</v>
      </c>
      <c r="E56" t="s">
        <v>113</v>
      </c>
      <c r="F56" t="s">
        <v>114</v>
      </c>
      <c r="G56" t="s">
        <v>115</v>
      </c>
      <c r="I56" t="s">
        <v>595</v>
      </c>
      <c r="J56" t="s">
        <v>118</v>
      </c>
      <c r="K56" t="s">
        <v>119</v>
      </c>
      <c r="L56" t="s">
        <v>120</v>
      </c>
      <c r="M56" t="s">
        <v>121</v>
      </c>
      <c r="N56" t="s">
        <v>199</v>
      </c>
      <c r="O56" t="s">
        <v>3</v>
      </c>
      <c r="P56" t="s">
        <v>52</v>
      </c>
      <c r="Q56" t="s">
        <v>123</v>
      </c>
      <c r="S56" t="s">
        <v>125</v>
      </c>
      <c r="T56" t="s">
        <v>126</v>
      </c>
      <c r="W56" t="s">
        <v>129</v>
      </c>
      <c r="X56" t="s">
        <v>224</v>
      </c>
      <c r="Z56" t="s">
        <v>218</v>
      </c>
      <c r="AA56" t="s">
        <v>132</v>
      </c>
    </row>
    <row r="57" spans="1:27">
      <c r="A57" t="s">
        <v>596</v>
      </c>
      <c r="B57" s="1">
        <v>41461</v>
      </c>
      <c r="C57" t="s">
        <v>111</v>
      </c>
      <c r="D57" t="s">
        <v>112</v>
      </c>
      <c r="E57" t="s">
        <v>113</v>
      </c>
      <c r="F57" t="s">
        <v>114</v>
      </c>
      <c r="G57" t="s">
        <v>115</v>
      </c>
      <c r="I57" t="s">
        <v>597</v>
      </c>
      <c r="J57" t="s">
        <v>118</v>
      </c>
      <c r="K57" t="s">
        <v>119</v>
      </c>
      <c r="L57" t="s">
        <v>120</v>
      </c>
      <c r="M57" t="s">
        <v>121</v>
      </c>
      <c r="N57" t="s">
        <v>199</v>
      </c>
      <c r="O57" t="s">
        <v>3</v>
      </c>
      <c r="P57" t="s">
        <v>52</v>
      </c>
      <c r="Q57" t="s">
        <v>123</v>
      </c>
      <c r="S57" t="s">
        <v>125</v>
      </c>
      <c r="T57" t="s">
        <v>126</v>
      </c>
      <c r="W57" t="s">
        <v>129</v>
      </c>
      <c r="X57" t="s">
        <v>224</v>
      </c>
      <c r="Z57" t="s">
        <v>350</v>
      </c>
      <c r="AA57" t="s">
        <v>132</v>
      </c>
    </row>
    <row r="58" spans="1:27">
      <c r="A58" t="s">
        <v>598</v>
      </c>
      <c r="B58" s="1">
        <v>41461</v>
      </c>
      <c r="C58" t="s">
        <v>111</v>
      </c>
      <c r="D58" t="s">
        <v>112</v>
      </c>
      <c r="E58" t="s">
        <v>113</v>
      </c>
      <c r="F58" t="s">
        <v>114</v>
      </c>
      <c r="G58" t="s">
        <v>115</v>
      </c>
      <c r="I58" t="s">
        <v>599</v>
      </c>
      <c r="J58" t="s">
        <v>118</v>
      </c>
      <c r="K58" t="s">
        <v>119</v>
      </c>
      <c r="L58" t="s">
        <v>120</v>
      </c>
      <c r="M58" t="s">
        <v>121</v>
      </c>
      <c r="N58" t="s">
        <v>199</v>
      </c>
      <c r="O58" t="s">
        <v>3</v>
      </c>
      <c r="P58" t="s">
        <v>52</v>
      </c>
      <c r="Q58" t="s">
        <v>123</v>
      </c>
      <c r="S58" t="s">
        <v>125</v>
      </c>
      <c r="T58" t="s">
        <v>126</v>
      </c>
      <c r="W58" t="s">
        <v>129</v>
      </c>
      <c r="X58" t="s">
        <v>224</v>
      </c>
      <c r="Z58" t="s">
        <v>189</v>
      </c>
      <c r="AA58" t="s">
        <v>132</v>
      </c>
    </row>
    <row r="59" spans="1:27">
      <c r="A59" t="s">
        <v>600</v>
      </c>
      <c r="B59" s="1">
        <v>41461</v>
      </c>
      <c r="C59" t="s">
        <v>111</v>
      </c>
      <c r="D59" t="s">
        <v>112</v>
      </c>
      <c r="E59" t="s">
        <v>113</v>
      </c>
      <c r="F59" t="s">
        <v>114</v>
      </c>
      <c r="G59" t="s">
        <v>115</v>
      </c>
      <c r="I59" t="s">
        <v>601</v>
      </c>
      <c r="J59" t="s">
        <v>118</v>
      </c>
      <c r="K59" t="s">
        <v>119</v>
      </c>
      <c r="L59" t="s">
        <v>120</v>
      </c>
      <c r="M59" t="s">
        <v>121</v>
      </c>
      <c r="N59" t="s">
        <v>199</v>
      </c>
      <c r="O59" t="s">
        <v>6</v>
      </c>
      <c r="P59" t="s">
        <v>52</v>
      </c>
      <c r="Q59" t="s">
        <v>123</v>
      </c>
      <c r="S59" t="s">
        <v>125</v>
      </c>
      <c r="T59" t="s">
        <v>126</v>
      </c>
      <c r="W59" t="s">
        <v>129</v>
      </c>
      <c r="X59" t="s">
        <v>224</v>
      </c>
      <c r="Z59" t="s">
        <v>458</v>
      </c>
      <c r="AA59" t="s">
        <v>132</v>
      </c>
    </row>
    <row r="60" spans="1:27">
      <c r="A60" t="s">
        <v>341</v>
      </c>
      <c r="B60" s="1">
        <v>41461</v>
      </c>
      <c r="C60" t="s">
        <v>111</v>
      </c>
      <c r="D60" t="s">
        <v>112</v>
      </c>
      <c r="E60" t="s">
        <v>113</v>
      </c>
      <c r="F60" t="s">
        <v>114</v>
      </c>
      <c r="G60" t="s">
        <v>115</v>
      </c>
      <c r="I60" t="s">
        <v>342</v>
      </c>
      <c r="J60" t="s">
        <v>118</v>
      </c>
      <c r="K60" t="s">
        <v>119</v>
      </c>
      <c r="L60" t="s">
        <v>120</v>
      </c>
      <c r="M60" t="s">
        <v>121</v>
      </c>
      <c r="N60" t="s">
        <v>199</v>
      </c>
      <c r="O60" t="s">
        <v>1</v>
      </c>
      <c r="P60" t="s">
        <v>52</v>
      </c>
      <c r="Q60" t="s">
        <v>343</v>
      </c>
      <c r="S60" t="s">
        <v>143</v>
      </c>
      <c r="T60" t="s">
        <v>344</v>
      </c>
      <c r="W60" t="s">
        <v>602</v>
      </c>
      <c r="X60" t="s">
        <v>336</v>
      </c>
      <c r="Z60" t="s">
        <v>196</v>
      </c>
      <c r="AA60" t="s">
        <v>138</v>
      </c>
    </row>
    <row r="61" spans="1:27">
      <c r="A61" t="s">
        <v>603</v>
      </c>
      <c r="B61" s="1">
        <v>41461</v>
      </c>
      <c r="C61" t="s">
        <v>111</v>
      </c>
      <c r="D61" t="s">
        <v>112</v>
      </c>
      <c r="E61" t="s">
        <v>113</v>
      </c>
      <c r="F61" t="s">
        <v>114</v>
      </c>
      <c r="G61" t="s">
        <v>115</v>
      </c>
      <c r="I61" t="s">
        <v>604</v>
      </c>
      <c r="J61" t="s">
        <v>118</v>
      </c>
      <c r="K61" t="s">
        <v>605</v>
      </c>
      <c r="L61" t="s">
        <v>120</v>
      </c>
      <c r="M61" t="s">
        <v>121</v>
      </c>
      <c r="N61" t="s">
        <v>199</v>
      </c>
      <c r="O61" t="s">
        <v>7</v>
      </c>
      <c r="P61" t="s">
        <v>53</v>
      </c>
      <c r="Q61" t="s">
        <v>606</v>
      </c>
      <c r="S61" t="s">
        <v>125</v>
      </c>
      <c r="T61" t="s">
        <v>607</v>
      </c>
      <c r="W61" t="s">
        <v>608</v>
      </c>
      <c r="X61" t="s">
        <v>609</v>
      </c>
      <c r="Z61" t="s">
        <v>251</v>
      </c>
      <c r="AA61" t="s">
        <v>304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Plan14"/>
  <dimension ref="A1:AA9"/>
  <sheetViews>
    <sheetView workbookViewId="0">
      <selection activeCell="I2" sqref="I2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341</v>
      </c>
      <c r="B2" s="1">
        <v>41461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I2" t="s">
        <v>342</v>
      </c>
      <c r="J2" t="s">
        <v>118</v>
      </c>
      <c r="K2" t="s">
        <v>119</v>
      </c>
      <c r="L2" t="s">
        <v>120</v>
      </c>
      <c r="M2" t="s">
        <v>121</v>
      </c>
      <c r="N2" t="s">
        <v>199</v>
      </c>
      <c r="O2" t="s">
        <v>1</v>
      </c>
      <c r="P2" t="s">
        <v>52</v>
      </c>
      <c r="Q2" t="s">
        <v>343</v>
      </c>
      <c r="S2" t="s">
        <v>143</v>
      </c>
      <c r="T2" t="s">
        <v>344</v>
      </c>
      <c r="W2" t="s">
        <v>602</v>
      </c>
      <c r="X2" t="s">
        <v>336</v>
      </c>
      <c r="Z2" t="s">
        <v>196</v>
      </c>
      <c r="AA2" t="s">
        <v>138</v>
      </c>
    </row>
    <row r="3" spans="1:27">
      <c r="A3" t="s">
        <v>591</v>
      </c>
      <c r="B3" s="1">
        <v>41461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I3" t="s">
        <v>592</v>
      </c>
      <c r="J3" t="s">
        <v>118</v>
      </c>
      <c r="K3" t="s">
        <v>119</v>
      </c>
      <c r="L3" t="s">
        <v>120</v>
      </c>
      <c r="M3" t="s">
        <v>121</v>
      </c>
      <c r="N3" t="s">
        <v>199</v>
      </c>
      <c r="O3" t="s">
        <v>3</v>
      </c>
      <c r="P3" t="s">
        <v>52</v>
      </c>
      <c r="Q3" t="s">
        <v>123</v>
      </c>
      <c r="S3" t="s">
        <v>125</v>
      </c>
      <c r="T3" t="s">
        <v>126</v>
      </c>
      <c r="W3" t="s">
        <v>129</v>
      </c>
      <c r="X3" t="s">
        <v>224</v>
      </c>
      <c r="Z3" t="s">
        <v>593</v>
      </c>
      <c r="AA3" t="s">
        <v>132</v>
      </c>
    </row>
    <row r="4" spans="1:27">
      <c r="A4" t="s">
        <v>594</v>
      </c>
      <c r="B4" s="1">
        <v>41461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I4" t="s">
        <v>595</v>
      </c>
      <c r="J4" t="s">
        <v>118</v>
      </c>
      <c r="K4" t="s">
        <v>119</v>
      </c>
      <c r="L4" t="s">
        <v>120</v>
      </c>
      <c r="M4" t="s">
        <v>121</v>
      </c>
      <c r="N4" t="s">
        <v>199</v>
      </c>
      <c r="O4" t="s">
        <v>3</v>
      </c>
      <c r="P4" t="s">
        <v>52</v>
      </c>
      <c r="Q4" t="s">
        <v>123</v>
      </c>
      <c r="S4" t="s">
        <v>125</v>
      </c>
      <c r="T4" t="s">
        <v>126</v>
      </c>
      <c r="W4" t="s">
        <v>129</v>
      </c>
      <c r="X4" t="s">
        <v>224</v>
      </c>
      <c r="Z4" t="s">
        <v>218</v>
      </c>
      <c r="AA4" t="s">
        <v>132</v>
      </c>
    </row>
    <row r="5" spans="1:27">
      <c r="A5" t="s">
        <v>596</v>
      </c>
      <c r="B5" s="1">
        <v>41461</v>
      </c>
      <c r="C5" t="s">
        <v>111</v>
      </c>
      <c r="D5" t="s">
        <v>112</v>
      </c>
      <c r="E5" t="s">
        <v>113</v>
      </c>
      <c r="F5" t="s">
        <v>114</v>
      </c>
      <c r="G5" t="s">
        <v>115</v>
      </c>
      <c r="I5" t="s">
        <v>597</v>
      </c>
      <c r="J5" t="s">
        <v>118</v>
      </c>
      <c r="K5" t="s">
        <v>119</v>
      </c>
      <c r="L5" t="s">
        <v>120</v>
      </c>
      <c r="M5" t="s">
        <v>121</v>
      </c>
      <c r="N5" t="s">
        <v>199</v>
      </c>
      <c r="O5" t="s">
        <v>3</v>
      </c>
      <c r="P5" t="s">
        <v>52</v>
      </c>
      <c r="Q5" t="s">
        <v>123</v>
      </c>
      <c r="S5" t="s">
        <v>125</v>
      </c>
      <c r="T5" t="s">
        <v>126</v>
      </c>
      <c r="W5" t="s">
        <v>129</v>
      </c>
      <c r="X5" t="s">
        <v>224</v>
      </c>
      <c r="Z5" t="s">
        <v>350</v>
      </c>
      <c r="AA5" t="s">
        <v>132</v>
      </c>
    </row>
    <row r="6" spans="1:27">
      <c r="A6" t="s">
        <v>598</v>
      </c>
      <c r="B6" s="1">
        <v>41461</v>
      </c>
      <c r="C6" t="s">
        <v>111</v>
      </c>
      <c r="D6" t="s">
        <v>112</v>
      </c>
      <c r="E6" t="s">
        <v>113</v>
      </c>
      <c r="F6" t="s">
        <v>114</v>
      </c>
      <c r="G6" t="s">
        <v>115</v>
      </c>
      <c r="I6" t="s">
        <v>599</v>
      </c>
      <c r="J6" t="s">
        <v>118</v>
      </c>
      <c r="K6" t="s">
        <v>119</v>
      </c>
      <c r="L6" t="s">
        <v>120</v>
      </c>
      <c r="M6" t="s">
        <v>121</v>
      </c>
      <c r="N6" t="s">
        <v>199</v>
      </c>
      <c r="O6" t="s">
        <v>3</v>
      </c>
      <c r="P6" t="s">
        <v>52</v>
      </c>
      <c r="Q6" t="s">
        <v>123</v>
      </c>
      <c r="S6" t="s">
        <v>125</v>
      </c>
      <c r="T6" t="s">
        <v>126</v>
      </c>
      <c r="W6" t="s">
        <v>129</v>
      </c>
      <c r="X6" t="s">
        <v>224</v>
      </c>
      <c r="Z6" t="s">
        <v>189</v>
      </c>
      <c r="AA6" t="s">
        <v>132</v>
      </c>
    </row>
    <row r="7" spans="1:27">
      <c r="A7" t="s">
        <v>590</v>
      </c>
      <c r="B7" s="1">
        <v>41461</v>
      </c>
      <c r="C7" t="s">
        <v>111</v>
      </c>
      <c r="D7" t="s">
        <v>112</v>
      </c>
      <c r="E7" t="s">
        <v>113</v>
      </c>
      <c r="F7" t="s">
        <v>114</v>
      </c>
      <c r="G7" t="s">
        <v>115</v>
      </c>
      <c r="I7" t="s">
        <v>579</v>
      </c>
      <c r="J7" t="s">
        <v>118</v>
      </c>
      <c r="K7" t="s">
        <v>119</v>
      </c>
      <c r="L7" t="s">
        <v>120</v>
      </c>
      <c r="M7" t="s">
        <v>121</v>
      </c>
      <c r="N7" t="s">
        <v>199</v>
      </c>
      <c r="O7" t="s">
        <v>6</v>
      </c>
      <c r="P7" t="s">
        <v>53</v>
      </c>
      <c r="Q7" t="s">
        <v>580</v>
      </c>
      <c r="S7" t="s">
        <v>200</v>
      </c>
      <c r="T7" t="s">
        <v>582</v>
      </c>
      <c r="W7" t="s">
        <v>583</v>
      </c>
      <c r="X7" t="s">
        <v>349</v>
      </c>
      <c r="Z7" t="s">
        <v>196</v>
      </c>
      <c r="AA7" t="s">
        <v>209</v>
      </c>
    </row>
    <row r="8" spans="1:27">
      <c r="A8" t="s">
        <v>600</v>
      </c>
      <c r="B8" s="1">
        <v>41461</v>
      </c>
      <c r="C8" t="s">
        <v>111</v>
      </c>
      <c r="D8" t="s">
        <v>112</v>
      </c>
      <c r="E8" t="s">
        <v>113</v>
      </c>
      <c r="F8" t="s">
        <v>114</v>
      </c>
      <c r="G8" t="s">
        <v>115</v>
      </c>
      <c r="I8" t="s">
        <v>601</v>
      </c>
      <c r="J8" t="s">
        <v>118</v>
      </c>
      <c r="K8" t="s">
        <v>119</v>
      </c>
      <c r="L8" t="s">
        <v>120</v>
      </c>
      <c r="M8" t="s">
        <v>121</v>
      </c>
      <c r="N8" t="s">
        <v>199</v>
      </c>
      <c r="O8" t="s">
        <v>6</v>
      </c>
      <c r="P8" t="s">
        <v>52</v>
      </c>
      <c r="Q8" t="s">
        <v>123</v>
      </c>
      <c r="S8" t="s">
        <v>125</v>
      </c>
      <c r="T8" t="s">
        <v>126</v>
      </c>
      <c r="W8" t="s">
        <v>129</v>
      </c>
      <c r="X8" t="s">
        <v>224</v>
      </c>
      <c r="Z8" t="s">
        <v>458</v>
      </c>
      <c r="AA8" t="s">
        <v>132</v>
      </c>
    </row>
    <row r="9" spans="1:27">
      <c r="A9" t="s">
        <v>603</v>
      </c>
      <c r="B9" s="1">
        <v>41461</v>
      </c>
      <c r="C9" t="s">
        <v>111</v>
      </c>
      <c r="D9" t="s">
        <v>112</v>
      </c>
      <c r="E9" t="s">
        <v>113</v>
      </c>
      <c r="F9" t="s">
        <v>114</v>
      </c>
      <c r="G9" t="s">
        <v>115</v>
      </c>
      <c r="I9" t="s">
        <v>604</v>
      </c>
      <c r="J9" t="s">
        <v>118</v>
      </c>
      <c r="K9" t="s">
        <v>605</v>
      </c>
      <c r="L9" t="s">
        <v>120</v>
      </c>
      <c r="M9" t="s">
        <v>121</v>
      </c>
      <c r="N9" t="s">
        <v>199</v>
      </c>
      <c r="O9" t="s">
        <v>7</v>
      </c>
      <c r="P9" t="s">
        <v>53</v>
      </c>
      <c r="Q9" t="s">
        <v>606</v>
      </c>
      <c r="S9" t="s">
        <v>125</v>
      </c>
      <c r="T9" t="s">
        <v>607</v>
      </c>
      <c r="W9" t="s">
        <v>608</v>
      </c>
      <c r="X9" t="s">
        <v>609</v>
      </c>
      <c r="Z9" t="s">
        <v>251</v>
      </c>
      <c r="AA9" t="s">
        <v>304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Plan15"/>
  <dimension ref="A1:AA10"/>
  <sheetViews>
    <sheetView workbookViewId="0">
      <selection activeCell="I2" sqref="I2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610</v>
      </c>
      <c r="B2" s="1">
        <v>41463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H2" t="s">
        <v>116</v>
      </c>
      <c r="I2" t="s">
        <v>308</v>
      </c>
      <c r="J2" t="s">
        <v>118</v>
      </c>
      <c r="K2" t="s">
        <v>119</v>
      </c>
      <c r="L2" t="s">
        <v>120</v>
      </c>
      <c r="M2" t="s">
        <v>121</v>
      </c>
      <c r="N2" t="s">
        <v>122</v>
      </c>
      <c r="P2" t="s">
        <v>52</v>
      </c>
      <c r="Q2" t="s">
        <v>611</v>
      </c>
      <c r="R2" t="s">
        <v>135</v>
      </c>
      <c r="S2" t="s">
        <v>143</v>
      </c>
      <c r="T2" t="s">
        <v>612</v>
      </c>
      <c r="V2" t="s">
        <v>231</v>
      </c>
      <c r="W2" t="s">
        <v>412</v>
      </c>
      <c r="X2" t="s">
        <v>588</v>
      </c>
      <c r="Y2" t="s">
        <v>231</v>
      </c>
      <c r="Z2" t="s">
        <v>292</v>
      </c>
      <c r="AA2" t="s">
        <v>138</v>
      </c>
    </row>
    <row r="3" spans="1:27">
      <c r="A3" t="s">
        <v>613</v>
      </c>
      <c r="B3" s="1">
        <v>41463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H3" t="s">
        <v>116</v>
      </c>
      <c r="I3" t="s">
        <v>614</v>
      </c>
      <c r="J3" t="s">
        <v>118</v>
      </c>
      <c r="K3" t="s">
        <v>119</v>
      </c>
      <c r="L3" t="s">
        <v>120</v>
      </c>
      <c r="M3" t="s">
        <v>121</v>
      </c>
      <c r="N3" t="s">
        <v>122</v>
      </c>
      <c r="P3" t="s">
        <v>52</v>
      </c>
      <c r="Q3" t="s">
        <v>615</v>
      </c>
      <c r="R3" t="s">
        <v>135</v>
      </c>
      <c r="S3" t="s">
        <v>295</v>
      </c>
      <c r="T3" t="s">
        <v>616</v>
      </c>
      <c r="U3" t="s">
        <v>145</v>
      </c>
      <c r="V3" t="s">
        <v>170</v>
      </c>
      <c r="W3" t="s">
        <v>617</v>
      </c>
      <c r="X3" t="s">
        <v>588</v>
      </c>
      <c r="Y3" t="s">
        <v>170</v>
      </c>
      <c r="Z3" t="s">
        <v>173</v>
      </c>
      <c r="AA3" t="s">
        <v>138</v>
      </c>
    </row>
    <row r="4" spans="1:27">
      <c r="A4" t="s">
        <v>618</v>
      </c>
      <c r="B4" s="1">
        <v>41463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H4" t="s">
        <v>116</v>
      </c>
      <c r="I4" t="s">
        <v>619</v>
      </c>
      <c r="J4" t="s">
        <v>118</v>
      </c>
      <c r="K4" t="s">
        <v>119</v>
      </c>
      <c r="L4" t="s">
        <v>120</v>
      </c>
      <c r="M4" t="s">
        <v>121</v>
      </c>
      <c r="N4" t="s">
        <v>122</v>
      </c>
      <c r="P4" t="s">
        <v>52</v>
      </c>
      <c r="Q4" t="s">
        <v>246</v>
      </c>
      <c r="R4" t="s">
        <v>135</v>
      </c>
      <c r="S4" t="s">
        <v>143</v>
      </c>
      <c r="T4" t="s">
        <v>272</v>
      </c>
      <c r="U4" t="s">
        <v>145</v>
      </c>
      <c r="V4" t="s">
        <v>128</v>
      </c>
      <c r="W4" t="s">
        <v>620</v>
      </c>
      <c r="X4" t="s">
        <v>182</v>
      </c>
      <c r="Y4" t="s">
        <v>128</v>
      </c>
      <c r="Z4" t="s">
        <v>621</v>
      </c>
      <c r="AA4" t="s">
        <v>138</v>
      </c>
    </row>
    <row r="5" spans="1:27">
      <c r="A5" t="s">
        <v>622</v>
      </c>
      <c r="B5" s="1">
        <v>41463</v>
      </c>
      <c r="C5" t="s">
        <v>111</v>
      </c>
      <c r="D5" t="s">
        <v>112</v>
      </c>
      <c r="E5" t="s">
        <v>113</v>
      </c>
      <c r="F5" t="s">
        <v>114</v>
      </c>
      <c r="G5" t="s">
        <v>115</v>
      </c>
      <c r="H5" t="s">
        <v>116</v>
      </c>
      <c r="I5" t="s">
        <v>623</v>
      </c>
      <c r="J5" t="s">
        <v>118</v>
      </c>
      <c r="K5" t="s">
        <v>119</v>
      </c>
      <c r="L5" t="s">
        <v>120</v>
      </c>
      <c r="M5" t="s">
        <v>121</v>
      </c>
      <c r="N5" t="s">
        <v>122</v>
      </c>
      <c r="P5" t="s">
        <v>53</v>
      </c>
      <c r="Q5" t="s">
        <v>309</v>
      </c>
      <c r="R5" t="s">
        <v>135</v>
      </c>
      <c r="S5" t="s">
        <v>264</v>
      </c>
      <c r="T5" t="s">
        <v>272</v>
      </c>
      <c r="U5" t="s">
        <v>127</v>
      </c>
      <c r="V5" t="s">
        <v>128</v>
      </c>
      <c r="W5" t="s">
        <v>624</v>
      </c>
      <c r="X5" t="s">
        <v>625</v>
      </c>
      <c r="Y5" t="s">
        <v>128</v>
      </c>
      <c r="Z5" t="s">
        <v>251</v>
      </c>
      <c r="AA5" t="s">
        <v>424</v>
      </c>
    </row>
    <row r="6" spans="1:27">
      <c r="A6" t="s">
        <v>626</v>
      </c>
      <c r="B6" s="1">
        <v>41463</v>
      </c>
      <c r="C6" t="s">
        <v>111</v>
      </c>
      <c r="D6" t="s">
        <v>112</v>
      </c>
      <c r="E6" t="s">
        <v>113</v>
      </c>
      <c r="F6" t="s">
        <v>114</v>
      </c>
      <c r="G6" t="s">
        <v>115</v>
      </c>
      <c r="H6" t="s">
        <v>361</v>
      </c>
      <c r="I6" t="s">
        <v>627</v>
      </c>
      <c r="J6" t="s">
        <v>118</v>
      </c>
      <c r="K6" t="s">
        <v>119</v>
      </c>
      <c r="L6" t="s">
        <v>120</v>
      </c>
      <c r="M6" t="s">
        <v>121</v>
      </c>
      <c r="N6" t="s">
        <v>122</v>
      </c>
      <c r="P6" t="s">
        <v>54</v>
      </c>
      <c r="Q6" t="s">
        <v>211</v>
      </c>
      <c r="R6" t="s">
        <v>427</v>
      </c>
      <c r="S6" t="s">
        <v>143</v>
      </c>
      <c r="T6" t="s">
        <v>628</v>
      </c>
      <c r="U6" t="s">
        <v>127</v>
      </c>
      <c r="V6" t="s">
        <v>170</v>
      </c>
      <c r="W6" t="s">
        <v>629</v>
      </c>
      <c r="X6" t="s">
        <v>588</v>
      </c>
      <c r="Y6" t="s">
        <v>170</v>
      </c>
      <c r="Z6" t="s">
        <v>292</v>
      </c>
      <c r="AA6" t="s">
        <v>138</v>
      </c>
    </row>
    <row r="7" spans="1:27">
      <c r="A7" t="s">
        <v>630</v>
      </c>
      <c r="B7" s="1">
        <v>41463</v>
      </c>
      <c r="C7" t="s">
        <v>111</v>
      </c>
      <c r="D7" t="s">
        <v>112</v>
      </c>
      <c r="E7" t="s">
        <v>113</v>
      </c>
      <c r="F7" t="s">
        <v>114</v>
      </c>
      <c r="G7" t="s">
        <v>115</v>
      </c>
      <c r="H7" t="s">
        <v>116</v>
      </c>
      <c r="I7" t="s">
        <v>631</v>
      </c>
      <c r="J7" t="s">
        <v>118</v>
      </c>
      <c r="K7" t="s">
        <v>119</v>
      </c>
      <c r="L7" t="s">
        <v>120</v>
      </c>
      <c r="M7" t="s">
        <v>121</v>
      </c>
      <c r="N7" t="s">
        <v>122</v>
      </c>
      <c r="P7" t="s">
        <v>53</v>
      </c>
      <c r="Q7" t="s">
        <v>159</v>
      </c>
      <c r="R7" t="s">
        <v>632</v>
      </c>
      <c r="S7" t="s">
        <v>168</v>
      </c>
      <c r="T7" t="s">
        <v>169</v>
      </c>
      <c r="U7" t="s">
        <v>127</v>
      </c>
      <c r="V7" t="s">
        <v>170</v>
      </c>
      <c r="W7" t="s">
        <v>371</v>
      </c>
      <c r="X7" t="s">
        <v>588</v>
      </c>
      <c r="Y7" t="s">
        <v>170</v>
      </c>
      <c r="Z7" t="s">
        <v>633</v>
      </c>
      <c r="AA7" t="s">
        <v>226</v>
      </c>
    </row>
    <row r="8" spans="1:27">
      <c r="A8" t="s">
        <v>634</v>
      </c>
      <c r="B8" s="1">
        <v>41463</v>
      </c>
      <c r="C8" t="s">
        <v>111</v>
      </c>
      <c r="D8" t="s">
        <v>112</v>
      </c>
      <c r="E8" t="s">
        <v>113</v>
      </c>
      <c r="F8" t="s">
        <v>114</v>
      </c>
      <c r="G8" t="s">
        <v>115</v>
      </c>
      <c r="H8" t="s">
        <v>116</v>
      </c>
      <c r="I8" t="s">
        <v>635</v>
      </c>
      <c r="J8" t="s">
        <v>118</v>
      </c>
      <c r="K8" t="s">
        <v>119</v>
      </c>
      <c r="L8" t="s">
        <v>120</v>
      </c>
      <c r="M8" t="s">
        <v>121</v>
      </c>
      <c r="N8" t="s">
        <v>122</v>
      </c>
      <c r="P8" t="s">
        <v>54</v>
      </c>
      <c r="Q8" t="s">
        <v>636</v>
      </c>
      <c r="R8" t="s">
        <v>135</v>
      </c>
      <c r="S8" t="s">
        <v>143</v>
      </c>
      <c r="T8" t="s">
        <v>272</v>
      </c>
      <c r="U8" t="s">
        <v>155</v>
      </c>
      <c r="V8" t="s">
        <v>128</v>
      </c>
      <c r="W8" t="s">
        <v>637</v>
      </c>
      <c r="X8" t="s">
        <v>625</v>
      </c>
      <c r="Y8" t="s">
        <v>128</v>
      </c>
      <c r="Z8" t="s">
        <v>196</v>
      </c>
      <c r="AA8" t="s">
        <v>138</v>
      </c>
    </row>
    <row r="9" spans="1:27">
      <c r="A9" t="s">
        <v>638</v>
      </c>
      <c r="B9" s="1">
        <v>41463</v>
      </c>
      <c r="C9" t="s">
        <v>111</v>
      </c>
      <c r="D9" t="s">
        <v>112</v>
      </c>
      <c r="E9" t="s">
        <v>113</v>
      </c>
      <c r="F9" t="s">
        <v>114</v>
      </c>
      <c r="G9" t="s">
        <v>115</v>
      </c>
      <c r="I9" t="s">
        <v>639</v>
      </c>
      <c r="J9" t="s">
        <v>118</v>
      </c>
      <c r="K9" t="s">
        <v>119</v>
      </c>
      <c r="L9" t="s">
        <v>120</v>
      </c>
      <c r="M9" t="s">
        <v>121</v>
      </c>
      <c r="N9" t="s">
        <v>199</v>
      </c>
      <c r="O9" t="s">
        <v>10</v>
      </c>
      <c r="P9" t="s">
        <v>53</v>
      </c>
      <c r="Q9" t="s">
        <v>277</v>
      </c>
      <c r="S9" t="s">
        <v>143</v>
      </c>
      <c r="T9" t="s">
        <v>272</v>
      </c>
      <c r="W9" t="s">
        <v>640</v>
      </c>
      <c r="X9" t="s">
        <v>641</v>
      </c>
      <c r="Z9" t="s">
        <v>431</v>
      </c>
      <c r="AA9" t="s">
        <v>138</v>
      </c>
    </row>
    <row r="10" spans="1:27">
      <c r="A10" t="s">
        <v>642</v>
      </c>
      <c r="B10" s="1">
        <v>41463</v>
      </c>
      <c r="C10" t="s">
        <v>111</v>
      </c>
      <c r="D10" t="s">
        <v>112</v>
      </c>
      <c r="E10" t="s">
        <v>113</v>
      </c>
      <c r="F10" t="s">
        <v>114</v>
      </c>
      <c r="G10" t="s">
        <v>115</v>
      </c>
      <c r="I10" t="s">
        <v>643</v>
      </c>
      <c r="J10" t="s">
        <v>118</v>
      </c>
      <c r="K10" t="s">
        <v>119</v>
      </c>
      <c r="L10" t="s">
        <v>120</v>
      </c>
      <c r="M10" t="s">
        <v>121</v>
      </c>
      <c r="N10" t="s">
        <v>199</v>
      </c>
      <c r="O10" t="s">
        <v>12</v>
      </c>
      <c r="P10" t="s">
        <v>53</v>
      </c>
      <c r="Q10" t="s">
        <v>214</v>
      </c>
      <c r="S10" t="s">
        <v>215</v>
      </c>
      <c r="T10" t="s">
        <v>216</v>
      </c>
      <c r="W10" t="s">
        <v>644</v>
      </c>
      <c r="X10" t="s">
        <v>645</v>
      </c>
      <c r="Z10" t="s">
        <v>137</v>
      </c>
      <c r="AA10" t="s">
        <v>304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Plan16"/>
  <dimension ref="A1:AA3"/>
  <sheetViews>
    <sheetView workbookViewId="0">
      <selection sqref="A1:XFD1048576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638</v>
      </c>
      <c r="B2" s="1">
        <v>41463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I2" t="s">
        <v>639</v>
      </c>
      <c r="J2" t="s">
        <v>118</v>
      </c>
      <c r="K2" t="s">
        <v>119</v>
      </c>
      <c r="L2" t="s">
        <v>120</v>
      </c>
      <c r="M2" t="s">
        <v>121</v>
      </c>
      <c r="N2" t="s">
        <v>199</v>
      </c>
      <c r="O2" t="s">
        <v>10</v>
      </c>
      <c r="P2" t="s">
        <v>53</v>
      </c>
      <c r="Q2" t="s">
        <v>277</v>
      </c>
      <c r="S2" t="s">
        <v>143</v>
      </c>
      <c r="T2" t="s">
        <v>272</v>
      </c>
      <c r="W2" t="s">
        <v>640</v>
      </c>
      <c r="X2" t="s">
        <v>641</v>
      </c>
      <c r="Z2" t="s">
        <v>431</v>
      </c>
      <c r="AA2" t="s">
        <v>138</v>
      </c>
    </row>
    <row r="3" spans="1:27">
      <c r="A3" t="s">
        <v>642</v>
      </c>
      <c r="B3" s="1">
        <v>41463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I3" t="s">
        <v>643</v>
      </c>
      <c r="J3" t="s">
        <v>118</v>
      </c>
      <c r="K3" t="s">
        <v>119</v>
      </c>
      <c r="L3" t="s">
        <v>120</v>
      </c>
      <c r="M3" t="s">
        <v>121</v>
      </c>
      <c r="N3" t="s">
        <v>199</v>
      </c>
      <c r="O3" t="s">
        <v>12</v>
      </c>
      <c r="P3" t="s">
        <v>53</v>
      </c>
      <c r="Q3" t="s">
        <v>214</v>
      </c>
      <c r="S3" t="s">
        <v>215</v>
      </c>
      <c r="T3" t="s">
        <v>216</v>
      </c>
      <c r="W3" t="s">
        <v>644</v>
      </c>
      <c r="X3" t="s">
        <v>645</v>
      </c>
      <c r="Z3" t="s">
        <v>137</v>
      </c>
      <c r="AA3" t="s">
        <v>304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Plan17"/>
  <dimension ref="A1:AA104"/>
  <sheetViews>
    <sheetView workbookViewId="0">
      <selection activeCell="I2" sqref="I2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646</v>
      </c>
      <c r="B2" s="1">
        <v>41464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H2" t="s">
        <v>116</v>
      </c>
      <c r="I2" t="s">
        <v>647</v>
      </c>
      <c r="J2" t="s">
        <v>118</v>
      </c>
      <c r="K2" t="s">
        <v>119</v>
      </c>
      <c r="L2" t="s">
        <v>120</v>
      </c>
      <c r="M2" t="s">
        <v>121</v>
      </c>
      <c r="N2" t="s">
        <v>122</v>
      </c>
      <c r="P2" t="s">
        <v>65</v>
      </c>
      <c r="Q2" t="s">
        <v>353</v>
      </c>
      <c r="R2" t="s">
        <v>135</v>
      </c>
      <c r="S2" t="s">
        <v>248</v>
      </c>
      <c r="T2" t="s">
        <v>355</v>
      </c>
      <c r="U2" t="s">
        <v>127</v>
      </c>
      <c r="V2" t="s">
        <v>128</v>
      </c>
      <c r="W2" t="s">
        <v>648</v>
      </c>
      <c r="X2" t="s">
        <v>349</v>
      </c>
      <c r="Y2" t="s">
        <v>128</v>
      </c>
      <c r="Z2" t="s">
        <v>148</v>
      </c>
      <c r="AA2" t="s">
        <v>649</v>
      </c>
    </row>
    <row r="3" spans="1:27">
      <c r="A3" t="s">
        <v>650</v>
      </c>
      <c r="B3" s="1">
        <v>41464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H3" t="s">
        <v>116</v>
      </c>
      <c r="I3" t="s">
        <v>651</v>
      </c>
      <c r="J3" t="s">
        <v>118</v>
      </c>
      <c r="K3" t="s">
        <v>119</v>
      </c>
      <c r="L3" t="s">
        <v>120</v>
      </c>
      <c r="M3" t="s">
        <v>121</v>
      </c>
      <c r="N3" t="s">
        <v>122</v>
      </c>
      <c r="P3" t="s">
        <v>65</v>
      </c>
      <c r="Q3" t="s">
        <v>353</v>
      </c>
      <c r="R3" t="s">
        <v>135</v>
      </c>
      <c r="S3" t="s">
        <v>248</v>
      </c>
      <c r="T3" t="s">
        <v>355</v>
      </c>
      <c r="U3" t="s">
        <v>127</v>
      </c>
      <c r="V3" t="s">
        <v>128</v>
      </c>
      <c r="W3" t="s">
        <v>648</v>
      </c>
      <c r="X3" t="s">
        <v>349</v>
      </c>
      <c r="Y3" t="s">
        <v>128</v>
      </c>
      <c r="Z3" t="s">
        <v>148</v>
      </c>
      <c r="AA3" t="s">
        <v>649</v>
      </c>
    </row>
    <row r="4" spans="1:27">
      <c r="A4" t="s">
        <v>652</v>
      </c>
      <c r="B4" s="1">
        <v>41464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H4" t="s">
        <v>116</v>
      </c>
      <c r="I4" t="s">
        <v>653</v>
      </c>
      <c r="J4" t="s">
        <v>118</v>
      </c>
      <c r="K4" t="s">
        <v>119</v>
      </c>
      <c r="L4" t="s">
        <v>120</v>
      </c>
      <c r="M4" t="s">
        <v>121</v>
      </c>
      <c r="N4" t="s">
        <v>122</v>
      </c>
      <c r="P4" t="s">
        <v>65</v>
      </c>
      <c r="Q4" t="s">
        <v>353</v>
      </c>
      <c r="R4" t="s">
        <v>135</v>
      </c>
      <c r="S4" t="s">
        <v>248</v>
      </c>
      <c r="T4" t="s">
        <v>355</v>
      </c>
      <c r="U4" t="s">
        <v>127</v>
      </c>
      <c r="V4" t="s">
        <v>128</v>
      </c>
      <c r="W4" t="s">
        <v>654</v>
      </c>
      <c r="X4" t="s">
        <v>349</v>
      </c>
      <c r="Y4" t="s">
        <v>128</v>
      </c>
      <c r="Z4" t="s">
        <v>148</v>
      </c>
      <c r="AA4" t="s">
        <v>655</v>
      </c>
    </row>
    <row r="5" spans="1:27">
      <c r="A5" t="s">
        <v>656</v>
      </c>
      <c r="B5" s="1">
        <v>41464</v>
      </c>
      <c r="C5" t="s">
        <v>111</v>
      </c>
      <c r="D5" t="s">
        <v>112</v>
      </c>
      <c r="E5" t="s">
        <v>113</v>
      </c>
      <c r="F5" t="s">
        <v>114</v>
      </c>
      <c r="G5" t="s">
        <v>115</v>
      </c>
      <c r="H5" t="s">
        <v>116</v>
      </c>
      <c r="I5" t="s">
        <v>657</v>
      </c>
      <c r="J5" t="s">
        <v>118</v>
      </c>
      <c r="K5" t="s">
        <v>119</v>
      </c>
      <c r="L5" t="s">
        <v>120</v>
      </c>
      <c r="M5" t="s">
        <v>121</v>
      </c>
      <c r="N5" t="s">
        <v>122</v>
      </c>
      <c r="P5" t="s">
        <v>52</v>
      </c>
      <c r="Q5" t="s">
        <v>658</v>
      </c>
      <c r="R5" t="s">
        <v>135</v>
      </c>
      <c r="S5" t="s">
        <v>143</v>
      </c>
      <c r="T5" t="s">
        <v>659</v>
      </c>
      <c r="U5" t="s">
        <v>145</v>
      </c>
      <c r="V5" t="s">
        <v>128</v>
      </c>
      <c r="W5" t="s">
        <v>660</v>
      </c>
      <c r="X5" t="s">
        <v>641</v>
      </c>
      <c r="Y5" t="s">
        <v>128</v>
      </c>
      <c r="Z5" t="s">
        <v>431</v>
      </c>
      <c r="AA5" t="s">
        <v>149</v>
      </c>
    </row>
    <row r="6" spans="1:27">
      <c r="A6" t="s">
        <v>661</v>
      </c>
      <c r="B6" s="1">
        <v>41464</v>
      </c>
      <c r="C6" t="s">
        <v>111</v>
      </c>
      <c r="D6" t="s">
        <v>112</v>
      </c>
      <c r="E6" t="s">
        <v>113</v>
      </c>
      <c r="F6" t="s">
        <v>114</v>
      </c>
      <c r="G6" t="s">
        <v>115</v>
      </c>
      <c r="H6" t="s">
        <v>116</v>
      </c>
      <c r="I6" t="s">
        <v>662</v>
      </c>
      <c r="J6" t="s">
        <v>118</v>
      </c>
      <c r="K6" t="s">
        <v>119</v>
      </c>
      <c r="L6" t="s">
        <v>120</v>
      </c>
      <c r="M6" t="s">
        <v>121</v>
      </c>
      <c r="N6" t="s">
        <v>122</v>
      </c>
      <c r="P6" t="s">
        <v>65</v>
      </c>
      <c r="Q6" t="s">
        <v>353</v>
      </c>
      <c r="R6" t="s">
        <v>135</v>
      </c>
      <c r="S6" t="s">
        <v>248</v>
      </c>
      <c r="T6" t="s">
        <v>355</v>
      </c>
      <c r="U6" t="s">
        <v>127</v>
      </c>
      <c r="V6" t="s">
        <v>128</v>
      </c>
      <c r="W6" t="s">
        <v>648</v>
      </c>
      <c r="X6" t="s">
        <v>349</v>
      </c>
      <c r="Y6" t="s">
        <v>128</v>
      </c>
      <c r="Z6" t="s">
        <v>148</v>
      </c>
      <c r="AA6" t="s">
        <v>649</v>
      </c>
    </row>
    <row r="7" spans="1:27">
      <c r="A7" t="s">
        <v>663</v>
      </c>
      <c r="B7" s="1">
        <v>41464</v>
      </c>
      <c r="C7" t="s">
        <v>111</v>
      </c>
      <c r="D7" t="s">
        <v>112</v>
      </c>
      <c r="E7" t="s">
        <v>113</v>
      </c>
      <c r="F7" t="s">
        <v>114</v>
      </c>
      <c r="G7" t="s">
        <v>115</v>
      </c>
      <c r="H7" t="s">
        <v>116</v>
      </c>
      <c r="I7" t="s">
        <v>664</v>
      </c>
      <c r="J7" t="s">
        <v>118</v>
      </c>
      <c r="K7" t="s">
        <v>119</v>
      </c>
      <c r="L7" t="s">
        <v>120</v>
      </c>
      <c r="M7" t="s">
        <v>121</v>
      </c>
      <c r="N7" t="s">
        <v>122</v>
      </c>
      <c r="P7" t="s">
        <v>65</v>
      </c>
      <c r="Q7" t="s">
        <v>353</v>
      </c>
      <c r="R7" t="s">
        <v>135</v>
      </c>
      <c r="S7" t="s">
        <v>248</v>
      </c>
      <c r="T7" t="s">
        <v>355</v>
      </c>
      <c r="U7" t="s">
        <v>127</v>
      </c>
      <c r="V7" t="s">
        <v>128</v>
      </c>
      <c r="W7" t="s">
        <v>648</v>
      </c>
      <c r="X7" t="s">
        <v>349</v>
      </c>
      <c r="Y7" t="s">
        <v>128</v>
      </c>
      <c r="Z7" t="s">
        <v>148</v>
      </c>
      <c r="AA7" t="s">
        <v>649</v>
      </c>
    </row>
    <row r="8" spans="1:27">
      <c r="A8" t="s">
        <v>665</v>
      </c>
      <c r="B8" s="1">
        <v>41464</v>
      </c>
      <c r="C8" t="s">
        <v>111</v>
      </c>
      <c r="D8" t="s">
        <v>112</v>
      </c>
      <c r="E8" t="s">
        <v>113</v>
      </c>
      <c r="F8" t="s">
        <v>114</v>
      </c>
      <c r="G8" t="s">
        <v>115</v>
      </c>
      <c r="H8" t="s">
        <v>116</v>
      </c>
      <c r="I8" t="s">
        <v>666</v>
      </c>
      <c r="J8" t="s">
        <v>118</v>
      </c>
      <c r="K8" t="s">
        <v>119</v>
      </c>
      <c r="L8" t="s">
        <v>120</v>
      </c>
      <c r="M8" t="s">
        <v>121</v>
      </c>
      <c r="N8" t="s">
        <v>122</v>
      </c>
      <c r="P8" t="s">
        <v>65</v>
      </c>
      <c r="Q8" t="s">
        <v>353</v>
      </c>
      <c r="R8" t="s">
        <v>135</v>
      </c>
      <c r="S8" t="s">
        <v>248</v>
      </c>
      <c r="T8" t="s">
        <v>355</v>
      </c>
      <c r="U8" t="s">
        <v>127</v>
      </c>
      <c r="V8" t="s">
        <v>128</v>
      </c>
      <c r="W8" t="s">
        <v>654</v>
      </c>
      <c r="X8" t="s">
        <v>349</v>
      </c>
      <c r="Y8" t="s">
        <v>128</v>
      </c>
      <c r="Z8" t="s">
        <v>148</v>
      </c>
      <c r="AA8" t="s">
        <v>655</v>
      </c>
    </row>
    <row r="9" spans="1:27">
      <c r="A9" t="s">
        <v>667</v>
      </c>
      <c r="B9" s="1">
        <v>41464</v>
      </c>
      <c r="C9" t="s">
        <v>111</v>
      </c>
      <c r="D9" t="s">
        <v>112</v>
      </c>
      <c r="E9" t="s">
        <v>113</v>
      </c>
      <c r="F9" t="s">
        <v>114</v>
      </c>
      <c r="G9" t="s">
        <v>115</v>
      </c>
      <c r="H9" t="s">
        <v>116</v>
      </c>
      <c r="I9" t="s">
        <v>668</v>
      </c>
      <c r="J9" t="s">
        <v>118</v>
      </c>
      <c r="K9" t="s">
        <v>119</v>
      </c>
      <c r="L9" t="s">
        <v>120</v>
      </c>
      <c r="M9" t="s">
        <v>121</v>
      </c>
      <c r="N9" t="s">
        <v>122</v>
      </c>
      <c r="P9" t="s">
        <v>65</v>
      </c>
      <c r="Q9" t="s">
        <v>353</v>
      </c>
      <c r="R9" t="s">
        <v>135</v>
      </c>
      <c r="S9" t="s">
        <v>248</v>
      </c>
      <c r="T9" t="s">
        <v>355</v>
      </c>
      <c r="U9" t="s">
        <v>127</v>
      </c>
      <c r="V9" t="s">
        <v>128</v>
      </c>
      <c r="W9" t="s">
        <v>648</v>
      </c>
      <c r="X9" t="s">
        <v>349</v>
      </c>
      <c r="Y9" t="s">
        <v>128</v>
      </c>
      <c r="Z9" t="s">
        <v>148</v>
      </c>
      <c r="AA9" t="s">
        <v>649</v>
      </c>
    </row>
    <row r="10" spans="1:27">
      <c r="A10" t="s">
        <v>669</v>
      </c>
      <c r="B10" s="1">
        <v>41464</v>
      </c>
      <c r="C10" t="s">
        <v>111</v>
      </c>
      <c r="D10" t="s">
        <v>112</v>
      </c>
      <c r="E10" t="s">
        <v>113</v>
      </c>
      <c r="F10" t="s">
        <v>114</v>
      </c>
      <c r="G10" t="s">
        <v>115</v>
      </c>
      <c r="H10" t="s">
        <v>116</v>
      </c>
      <c r="I10" t="s">
        <v>670</v>
      </c>
      <c r="J10" t="s">
        <v>118</v>
      </c>
      <c r="K10" t="s">
        <v>119</v>
      </c>
      <c r="L10" t="s">
        <v>120</v>
      </c>
      <c r="M10" t="s">
        <v>121</v>
      </c>
      <c r="N10" t="s">
        <v>122</v>
      </c>
      <c r="P10" t="s">
        <v>65</v>
      </c>
      <c r="Q10" t="s">
        <v>353</v>
      </c>
      <c r="R10" t="s">
        <v>135</v>
      </c>
      <c r="S10" t="s">
        <v>248</v>
      </c>
      <c r="T10" t="s">
        <v>355</v>
      </c>
      <c r="U10" t="s">
        <v>127</v>
      </c>
      <c r="V10" t="s">
        <v>128</v>
      </c>
      <c r="W10" t="s">
        <v>648</v>
      </c>
      <c r="X10" t="s">
        <v>349</v>
      </c>
      <c r="Y10" t="s">
        <v>128</v>
      </c>
      <c r="Z10" t="s">
        <v>148</v>
      </c>
      <c r="AA10" t="s">
        <v>649</v>
      </c>
    </row>
    <row r="11" spans="1:27">
      <c r="A11" t="s">
        <v>671</v>
      </c>
      <c r="B11" s="1">
        <v>41464</v>
      </c>
      <c r="C11" t="s">
        <v>111</v>
      </c>
      <c r="D11" t="s">
        <v>112</v>
      </c>
      <c r="E11" t="s">
        <v>113</v>
      </c>
      <c r="F11" t="s">
        <v>114</v>
      </c>
      <c r="G11" t="s">
        <v>115</v>
      </c>
      <c r="H11" t="s">
        <v>116</v>
      </c>
      <c r="I11" t="s">
        <v>672</v>
      </c>
      <c r="J11" t="s">
        <v>118</v>
      </c>
      <c r="K11" t="s">
        <v>119</v>
      </c>
      <c r="L11" t="s">
        <v>120</v>
      </c>
      <c r="M11" t="s">
        <v>121</v>
      </c>
      <c r="N11" t="s">
        <v>122</v>
      </c>
      <c r="P11" t="s">
        <v>65</v>
      </c>
      <c r="Q11" t="s">
        <v>353</v>
      </c>
      <c r="R11" t="s">
        <v>135</v>
      </c>
      <c r="S11" t="s">
        <v>248</v>
      </c>
      <c r="T11" t="s">
        <v>355</v>
      </c>
      <c r="U11" t="s">
        <v>127</v>
      </c>
      <c r="V11" t="s">
        <v>128</v>
      </c>
      <c r="W11" t="s">
        <v>648</v>
      </c>
      <c r="X11" t="s">
        <v>349</v>
      </c>
      <c r="Y11" t="s">
        <v>128</v>
      </c>
      <c r="Z11" t="s">
        <v>148</v>
      </c>
      <c r="AA11" t="s">
        <v>649</v>
      </c>
    </row>
    <row r="12" spans="1:27">
      <c r="A12" t="s">
        <v>673</v>
      </c>
      <c r="B12" s="1">
        <v>41464</v>
      </c>
      <c r="C12" t="s">
        <v>111</v>
      </c>
      <c r="D12" t="s">
        <v>112</v>
      </c>
      <c r="E12" t="s">
        <v>113</v>
      </c>
      <c r="F12" t="s">
        <v>114</v>
      </c>
      <c r="G12" t="s">
        <v>115</v>
      </c>
      <c r="H12" t="s">
        <v>116</v>
      </c>
      <c r="I12" t="s">
        <v>674</v>
      </c>
      <c r="J12" t="s">
        <v>118</v>
      </c>
      <c r="K12" t="s">
        <v>119</v>
      </c>
      <c r="L12" t="s">
        <v>120</v>
      </c>
      <c r="M12" t="s">
        <v>121</v>
      </c>
      <c r="N12" t="s">
        <v>122</v>
      </c>
      <c r="P12" t="s">
        <v>65</v>
      </c>
      <c r="Q12" t="s">
        <v>353</v>
      </c>
      <c r="R12" t="s">
        <v>135</v>
      </c>
      <c r="S12" t="s">
        <v>248</v>
      </c>
      <c r="T12" t="s">
        <v>355</v>
      </c>
      <c r="U12" t="s">
        <v>127</v>
      </c>
      <c r="V12" t="s">
        <v>128</v>
      </c>
      <c r="W12" t="s">
        <v>654</v>
      </c>
      <c r="X12" t="s">
        <v>349</v>
      </c>
      <c r="Y12" t="s">
        <v>128</v>
      </c>
      <c r="Z12" t="s">
        <v>148</v>
      </c>
      <c r="AA12" t="s">
        <v>655</v>
      </c>
    </row>
    <row r="13" spans="1:27">
      <c r="A13" t="s">
        <v>675</v>
      </c>
      <c r="B13" s="1">
        <v>41464</v>
      </c>
      <c r="C13" t="s">
        <v>111</v>
      </c>
      <c r="D13" t="s">
        <v>112</v>
      </c>
      <c r="E13" t="s">
        <v>113</v>
      </c>
      <c r="F13" t="s">
        <v>114</v>
      </c>
      <c r="G13" t="s">
        <v>115</v>
      </c>
      <c r="H13" t="s">
        <v>116</v>
      </c>
      <c r="I13" t="s">
        <v>676</v>
      </c>
      <c r="J13" t="s">
        <v>118</v>
      </c>
      <c r="K13" t="s">
        <v>119</v>
      </c>
      <c r="L13" t="s">
        <v>120</v>
      </c>
      <c r="M13" t="s">
        <v>121</v>
      </c>
      <c r="N13" t="s">
        <v>122</v>
      </c>
      <c r="P13" t="s">
        <v>65</v>
      </c>
      <c r="Q13" t="s">
        <v>353</v>
      </c>
      <c r="R13" t="s">
        <v>135</v>
      </c>
      <c r="S13" t="s">
        <v>248</v>
      </c>
      <c r="T13" t="s">
        <v>355</v>
      </c>
      <c r="U13" t="s">
        <v>127</v>
      </c>
      <c r="V13" t="s">
        <v>128</v>
      </c>
      <c r="W13" t="s">
        <v>654</v>
      </c>
      <c r="X13" t="s">
        <v>349</v>
      </c>
      <c r="Y13" t="s">
        <v>128</v>
      </c>
      <c r="Z13" t="s">
        <v>148</v>
      </c>
      <c r="AA13" t="s">
        <v>655</v>
      </c>
    </row>
    <row r="14" spans="1:27">
      <c r="A14" t="s">
        <v>677</v>
      </c>
      <c r="B14" s="1">
        <v>41464</v>
      </c>
      <c r="C14" t="s">
        <v>111</v>
      </c>
      <c r="D14" t="s">
        <v>112</v>
      </c>
      <c r="E14" t="s">
        <v>113</v>
      </c>
      <c r="F14" t="s">
        <v>114</v>
      </c>
      <c r="G14" t="s">
        <v>115</v>
      </c>
      <c r="H14" t="s">
        <v>116</v>
      </c>
      <c r="I14" t="s">
        <v>678</v>
      </c>
      <c r="J14" t="s">
        <v>118</v>
      </c>
      <c r="K14" t="s">
        <v>119</v>
      </c>
      <c r="L14" t="s">
        <v>120</v>
      </c>
      <c r="M14" t="s">
        <v>121</v>
      </c>
      <c r="N14" t="s">
        <v>122</v>
      </c>
      <c r="P14" t="s">
        <v>65</v>
      </c>
      <c r="Q14" t="s">
        <v>353</v>
      </c>
      <c r="R14" t="s">
        <v>135</v>
      </c>
      <c r="S14" t="s">
        <v>248</v>
      </c>
      <c r="T14" t="s">
        <v>355</v>
      </c>
      <c r="U14" t="s">
        <v>127</v>
      </c>
      <c r="V14" t="s">
        <v>128</v>
      </c>
      <c r="W14" t="s">
        <v>654</v>
      </c>
      <c r="X14" t="s">
        <v>349</v>
      </c>
      <c r="Y14" t="s">
        <v>128</v>
      </c>
      <c r="Z14" t="s">
        <v>148</v>
      </c>
      <c r="AA14" t="s">
        <v>655</v>
      </c>
    </row>
    <row r="15" spans="1:27">
      <c r="A15" t="s">
        <v>679</v>
      </c>
      <c r="B15" s="1">
        <v>41464</v>
      </c>
      <c r="C15" t="s">
        <v>111</v>
      </c>
      <c r="D15" t="s">
        <v>112</v>
      </c>
      <c r="E15" t="s">
        <v>113</v>
      </c>
      <c r="F15" t="s">
        <v>114</v>
      </c>
      <c r="G15" t="s">
        <v>115</v>
      </c>
      <c r="H15" t="s">
        <v>116</v>
      </c>
      <c r="I15" t="s">
        <v>680</v>
      </c>
      <c r="J15" t="s">
        <v>118</v>
      </c>
      <c r="K15" t="s">
        <v>119</v>
      </c>
      <c r="L15" t="s">
        <v>120</v>
      </c>
      <c r="M15" t="s">
        <v>121</v>
      </c>
      <c r="N15" t="s">
        <v>122</v>
      </c>
      <c r="P15" t="s">
        <v>65</v>
      </c>
      <c r="Q15" t="s">
        <v>353</v>
      </c>
      <c r="R15" t="s">
        <v>135</v>
      </c>
      <c r="S15" t="s">
        <v>248</v>
      </c>
      <c r="T15" t="s">
        <v>355</v>
      </c>
      <c r="U15" t="s">
        <v>127</v>
      </c>
      <c r="V15" t="s">
        <v>128</v>
      </c>
      <c r="W15" t="s">
        <v>654</v>
      </c>
      <c r="X15" t="s">
        <v>349</v>
      </c>
      <c r="Y15" t="s">
        <v>128</v>
      </c>
      <c r="Z15" t="s">
        <v>148</v>
      </c>
      <c r="AA15" t="s">
        <v>655</v>
      </c>
    </row>
    <row r="16" spans="1:27">
      <c r="A16" t="s">
        <v>681</v>
      </c>
      <c r="B16" s="1">
        <v>41464</v>
      </c>
      <c r="C16" t="s">
        <v>111</v>
      </c>
      <c r="D16" t="s">
        <v>112</v>
      </c>
      <c r="E16" t="s">
        <v>113</v>
      </c>
      <c r="F16" t="s">
        <v>114</v>
      </c>
      <c r="G16" t="s">
        <v>115</v>
      </c>
      <c r="H16" t="s">
        <v>116</v>
      </c>
      <c r="I16" t="s">
        <v>682</v>
      </c>
      <c r="J16" t="s">
        <v>118</v>
      </c>
      <c r="K16" t="s">
        <v>119</v>
      </c>
      <c r="L16" t="s">
        <v>120</v>
      </c>
      <c r="M16" t="s">
        <v>121</v>
      </c>
      <c r="N16" t="s">
        <v>122</v>
      </c>
      <c r="P16" t="s">
        <v>65</v>
      </c>
      <c r="Q16" t="s">
        <v>353</v>
      </c>
      <c r="R16" t="s">
        <v>135</v>
      </c>
      <c r="S16" t="s">
        <v>248</v>
      </c>
      <c r="T16" t="s">
        <v>355</v>
      </c>
      <c r="U16" t="s">
        <v>127</v>
      </c>
      <c r="V16" t="s">
        <v>128</v>
      </c>
      <c r="W16" t="s">
        <v>648</v>
      </c>
      <c r="X16" t="s">
        <v>349</v>
      </c>
      <c r="Y16" t="s">
        <v>128</v>
      </c>
      <c r="Z16" t="s">
        <v>148</v>
      </c>
      <c r="AA16" t="s">
        <v>649</v>
      </c>
    </row>
    <row r="17" spans="1:27">
      <c r="A17" t="s">
        <v>683</v>
      </c>
      <c r="B17" s="1">
        <v>41464</v>
      </c>
      <c r="C17" t="s">
        <v>111</v>
      </c>
      <c r="D17" t="s">
        <v>112</v>
      </c>
      <c r="E17" t="s">
        <v>113</v>
      </c>
      <c r="F17" t="s">
        <v>114</v>
      </c>
      <c r="G17" t="s">
        <v>115</v>
      </c>
      <c r="H17" t="s">
        <v>116</v>
      </c>
      <c r="I17" t="s">
        <v>684</v>
      </c>
      <c r="J17" t="s">
        <v>118</v>
      </c>
      <c r="K17" t="s">
        <v>119</v>
      </c>
      <c r="L17" t="s">
        <v>120</v>
      </c>
      <c r="M17" t="s">
        <v>121</v>
      </c>
      <c r="N17" t="s">
        <v>122</v>
      </c>
      <c r="P17" t="s">
        <v>65</v>
      </c>
      <c r="Q17" t="s">
        <v>353</v>
      </c>
      <c r="R17" t="s">
        <v>135</v>
      </c>
      <c r="S17" t="s">
        <v>248</v>
      </c>
      <c r="T17" t="s">
        <v>355</v>
      </c>
      <c r="U17" t="s">
        <v>127</v>
      </c>
      <c r="V17" t="s">
        <v>128</v>
      </c>
      <c r="W17" t="s">
        <v>654</v>
      </c>
      <c r="X17" t="s">
        <v>349</v>
      </c>
      <c r="Y17" t="s">
        <v>128</v>
      </c>
      <c r="Z17" t="s">
        <v>148</v>
      </c>
      <c r="AA17" t="s">
        <v>655</v>
      </c>
    </row>
    <row r="18" spans="1:27">
      <c r="A18" t="s">
        <v>685</v>
      </c>
      <c r="B18" s="1">
        <v>41464</v>
      </c>
      <c r="C18" t="s">
        <v>111</v>
      </c>
      <c r="D18" t="s">
        <v>112</v>
      </c>
      <c r="E18" t="s">
        <v>113</v>
      </c>
      <c r="F18" t="s">
        <v>114</v>
      </c>
      <c r="G18" t="s">
        <v>115</v>
      </c>
      <c r="H18" t="s">
        <v>116</v>
      </c>
      <c r="I18" t="s">
        <v>686</v>
      </c>
      <c r="J18" t="s">
        <v>118</v>
      </c>
      <c r="K18" t="s">
        <v>119</v>
      </c>
      <c r="L18" t="s">
        <v>120</v>
      </c>
      <c r="M18" t="s">
        <v>121</v>
      </c>
      <c r="N18" t="s">
        <v>122</v>
      </c>
      <c r="P18" t="s">
        <v>65</v>
      </c>
      <c r="Q18" t="s">
        <v>353</v>
      </c>
      <c r="R18" t="s">
        <v>135</v>
      </c>
      <c r="S18" t="s">
        <v>248</v>
      </c>
      <c r="T18" t="s">
        <v>355</v>
      </c>
      <c r="U18" t="s">
        <v>127</v>
      </c>
      <c r="V18" t="s">
        <v>128</v>
      </c>
      <c r="W18" t="s">
        <v>648</v>
      </c>
      <c r="X18" t="s">
        <v>349</v>
      </c>
      <c r="Y18" t="s">
        <v>128</v>
      </c>
      <c r="Z18" t="s">
        <v>148</v>
      </c>
      <c r="AA18" t="s">
        <v>649</v>
      </c>
    </row>
    <row r="19" spans="1:27">
      <c r="A19" t="s">
        <v>687</v>
      </c>
      <c r="B19" s="1">
        <v>41464</v>
      </c>
      <c r="C19" t="s">
        <v>111</v>
      </c>
      <c r="D19" t="s">
        <v>112</v>
      </c>
      <c r="E19" t="s">
        <v>113</v>
      </c>
      <c r="F19" t="s">
        <v>114</v>
      </c>
      <c r="G19" t="s">
        <v>115</v>
      </c>
      <c r="H19" t="s">
        <v>116</v>
      </c>
      <c r="I19" t="s">
        <v>688</v>
      </c>
      <c r="J19" t="s">
        <v>118</v>
      </c>
      <c r="K19" t="s">
        <v>119</v>
      </c>
      <c r="L19" t="s">
        <v>120</v>
      </c>
      <c r="M19" t="s">
        <v>121</v>
      </c>
      <c r="N19" t="s">
        <v>122</v>
      </c>
      <c r="P19" t="s">
        <v>65</v>
      </c>
      <c r="Q19" t="s">
        <v>353</v>
      </c>
      <c r="R19" t="s">
        <v>135</v>
      </c>
      <c r="S19" t="s">
        <v>248</v>
      </c>
      <c r="T19" t="s">
        <v>355</v>
      </c>
      <c r="U19" t="s">
        <v>127</v>
      </c>
      <c r="V19" t="s">
        <v>128</v>
      </c>
      <c r="W19" t="s">
        <v>654</v>
      </c>
      <c r="X19" t="s">
        <v>349</v>
      </c>
      <c r="Y19" t="s">
        <v>128</v>
      </c>
      <c r="Z19" t="s">
        <v>148</v>
      </c>
      <c r="AA19" t="s">
        <v>655</v>
      </c>
    </row>
    <row r="20" spans="1:27">
      <c r="A20" t="s">
        <v>689</v>
      </c>
      <c r="B20" s="1">
        <v>41464</v>
      </c>
      <c r="C20" t="s">
        <v>111</v>
      </c>
      <c r="D20" t="s">
        <v>112</v>
      </c>
      <c r="E20" t="s">
        <v>113</v>
      </c>
      <c r="F20" t="s">
        <v>114</v>
      </c>
      <c r="G20" t="s">
        <v>115</v>
      </c>
      <c r="H20" t="s">
        <v>116</v>
      </c>
      <c r="I20" t="s">
        <v>690</v>
      </c>
      <c r="J20" t="s">
        <v>118</v>
      </c>
      <c r="K20" t="s">
        <v>119</v>
      </c>
      <c r="L20" t="s">
        <v>120</v>
      </c>
      <c r="M20" t="s">
        <v>121</v>
      </c>
      <c r="N20" t="s">
        <v>122</v>
      </c>
      <c r="P20" t="s">
        <v>65</v>
      </c>
      <c r="Q20" t="s">
        <v>353</v>
      </c>
      <c r="R20" t="s">
        <v>135</v>
      </c>
      <c r="S20" t="s">
        <v>248</v>
      </c>
      <c r="T20" t="s">
        <v>355</v>
      </c>
      <c r="U20" t="s">
        <v>127</v>
      </c>
      <c r="V20" t="s">
        <v>128</v>
      </c>
      <c r="W20" t="s">
        <v>648</v>
      </c>
      <c r="X20" t="s">
        <v>349</v>
      </c>
      <c r="Y20" t="s">
        <v>128</v>
      </c>
      <c r="Z20" t="s">
        <v>148</v>
      </c>
      <c r="AA20" t="s">
        <v>649</v>
      </c>
    </row>
    <row r="21" spans="1:27">
      <c r="A21" t="s">
        <v>691</v>
      </c>
      <c r="B21" s="1">
        <v>41464</v>
      </c>
      <c r="C21" t="s">
        <v>111</v>
      </c>
      <c r="D21" t="s">
        <v>112</v>
      </c>
      <c r="E21" t="s">
        <v>113</v>
      </c>
      <c r="F21" t="s">
        <v>114</v>
      </c>
      <c r="G21" t="s">
        <v>115</v>
      </c>
      <c r="H21" t="s">
        <v>116</v>
      </c>
      <c r="I21" t="s">
        <v>692</v>
      </c>
      <c r="J21" t="s">
        <v>118</v>
      </c>
      <c r="K21" t="s">
        <v>119</v>
      </c>
      <c r="L21" t="s">
        <v>120</v>
      </c>
      <c r="M21" t="s">
        <v>121</v>
      </c>
      <c r="N21" t="s">
        <v>122</v>
      </c>
      <c r="P21" t="s">
        <v>65</v>
      </c>
      <c r="Q21" t="s">
        <v>353</v>
      </c>
      <c r="R21" t="s">
        <v>135</v>
      </c>
      <c r="S21" t="s">
        <v>248</v>
      </c>
      <c r="T21" t="s">
        <v>355</v>
      </c>
      <c r="U21" t="s">
        <v>127</v>
      </c>
      <c r="V21" t="s">
        <v>128</v>
      </c>
      <c r="W21" t="s">
        <v>648</v>
      </c>
      <c r="X21" t="s">
        <v>349</v>
      </c>
      <c r="Y21" t="s">
        <v>128</v>
      </c>
      <c r="Z21" t="s">
        <v>148</v>
      </c>
      <c r="AA21" t="s">
        <v>649</v>
      </c>
    </row>
    <row r="22" spans="1:27">
      <c r="A22" t="s">
        <v>693</v>
      </c>
      <c r="B22" s="1">
        <v>41464</v>
      </c>
      <c r="C22" t="s">
        <v>111</v>
      </c>
      <c r="D22" t="s">
        <v>112</v>
      </c>
      <c r="E22" t="s">
        <v>113</v>
      </c>
      <c r="F22" t="s">
        <v>114</v>
      </c>
      <c r="G22" t="s">
        <v>115</v>
      </c>
      <c r="H22" t="s">
        <v>116</v>
      </c>
      <c r="I22" t="s">
        <v>415</v>
      </c>
      <c r="J22" t="s">
        <v>118</v>
      </c>
      <c r="K22" t="s">
        <v>119</v>
      </c>
      <c r="L22" t="s">
        <v>120</v>
      </c>
      <c r="M22" t="s">
        <v>121</v>
      </c>
      <c r="N22" t="s">
        <v>122</v>
      </c>
      <c r="P22" t="s">
        <v>54</v>
      </c>
      <c r="Q22" t="s">
        <v>694</v>
      </c>
      <c r="R22" t="s">
        <v>135</v>
      </c>
      <c r="S22" t="s">
        <v>143</v>
      </c>
      <c r="T22" t="s">
        <v>272</v>
      </c>
      <c r="U22" t="s">
        <v>127</v>
      </c>
      <c r="V22" t="s">
        <v>128</v>
      </c>
      <c r="W22" t="s">
        <v>416</v>
      </c>
      <c r="X22" t="s">
        <v>588</v>
      </c>
      <c r="Y22" t="s">
        <v>128</v>
      </c>
      <c r="Z22" t="s">
        <v>152</v>
      </c>
      <c r="AA22" t="s">
        <v>164</v>
      </c>
    </row>
    <row r="23" spans="1:27">
      <c r="A23" t="s">
        <v>695</v>
      </c>
      <c r="B23" s="1">
        <v>41464</v>
      </c>
      <c r="C23" t="s">
        <v>111</v>
      </c>
      <c r="D23" t="s">
        <v>112</v>
      </c>
      <c r="E23" t="s">
        <v>113</v>
      </c>
      <c r="F23" t="s">
        <v>114</v>
      </c>
      <c r="G23" t="s">
        <v>115</v>
      </c>
      <c r="H23" t="s">
        <v>116</v>
      </c>
      <c r="I23" t="s">
        <v>696</v>
      </c>
      <c r="J23" t="s">
        <v>118</v>
      </c>
      <c r="K23" t="s">
        <v>119</v>
      </c>
      <c r="L23" t="s">
        <v>120</v>
      </c>
      <c r="M23" t="s">
        <v>121</v>
      </c>
      <c r="N23" t="s">
        <v>122</v>
      </c>
      <c r="P23" t="s">
        <v>65</v>
      </c>
      <c r="Q23" t="s">
        <v>353</v>
      </c>
      <c r="R23" t="s">
        <v>135</v>
      </c>
      <c r="S23" t="s">
        <v>248</v>
      </c>
      <c r="T23" t="s">
        <v>355</v>
      </c>
      <c r="U23" t="s">
        <v>127</v>
      </c>
      <c r="V23" t="s">
        <v>128</v>
      </c>
      <c r="W23" t="s">
        <v>648</v>
      </c>
      <c r="X23" t="s">
        <v>349</v>
      </c>
      <c r="Y23" t="s">
        <v>128</v>
      </c>
      <c r="Z23" t="s">
        <v>148</v>
      </c>
      <c r="AA23" t="s">
        <v>649</v>
      </c>
    </row>
    <row r="24" spans="1:27">
      <c r="A24" t="s">
        <v>697</v>
      </c>
      <c r="B24" s="1">
        <v>41464</v>
      </c>
      <c r="C24" t="s">
        <v>111</v>
      </c>
      <c r="D24" t="s">
        <v>112</v>
      </c>
      <c r="E24" t="s">
        <v>113</v>
      </c>
      <c r="F24" t="s">
        <v>114</v>
      </c>
      <c r="G24" t="s">
        <v>115</v>
      </c>
      <c r="H24" t="s">
        <v>116</v>
      </c>
      <c r="I24" t="s">
        <v>698</v>
      </c>
      <c r="J24" t="s">
        <v>118</v>
      </c>
      <c r="K24" t="s">
        <v>119</v>
      </c>
      <c r="L24" t="s">
        <v>120</v>
      </c>
      <c r="M24" t="s">
        <v>121</v>
      </c>
      <c r="N24" t="s">
        <v>122</v>
      </c>
      <c r="P24" t="s">
        <v>65</v>
      </c>
      <c r="Q24" t="s">
        <v>353</v>
      </c>
      <c r="R24" t="s">
        <v>135</v>
      </c>
      <c r="S24" t="s">
        <v>248</v>
      </c>
      <c r="T24" t="s">
        <v>355</v>
      </c>
      <c r="U24" t="s">
        <v>127</v>
      </c>
      <c r="V24" t="s">
        <v>128</v>
      </c>
      <c r="W24" t="s">
        <v>648</v>
      </c>
      <c r="X24" t="s">
        <v>349</v>
      </c>
      <c r="Y24" t="s">
        <v>128</v>
      </c>
      <c r="Z24" t="s">
        <v>148</v>
      </c>
      <c r="AA24" t="s">
        <v>649</v>
      </c>
    </row>
    <row r="25" spans="1:27">
      <c r="A25" t="s">
        <v>699</v>
      </c>
      <c r="B25" s="1">
        <v>41464</v>
      </c>
      <c r="C25" t="s">
        <v>111</v>
      </c>
      <c r="D25" t="s">
        <v>112</v>
      </c>
      <c r="E25" t="s">
        <v>113</v>
      </c>
      <c r="F25" t="s">
        <v>114</v>
      </c>
      <c r="G25" t="s">
        <v>115</v>
      </c>
      <c r="H25" t="s">
        <v>116</v>
      </c>
      <c r="I25" t="s">
        <v>700</v>
      </c>
      <c r="J25" t="s">
        <v>118</v>
      </c>
      <c r="K25" t="s">
        <v>119</v>
      </c>
      <c r="L25" t="s">
        <v>120</v>
      </c>
      <c r="M25" t="s">
        <v>121</v>
      </c>
      <c r="N25" t="s">
        <v>122</v>
      </c>
      <c r="P25" t="s">
        <v>65</v>
      </c>
      <c r="Q25" t="s">
        <v>353</v>
      </c>
      <c r="R25" t="s">
        <v>135</v>
      </c>
      <c r="S25" t="s">
        <v>248</v>
      </c>
      <c r="T25" t="s">
        <v>355</v>
      </c>
      <c r="U25" t="s">
        <v>127</v>
      </c>
      <c r="V25" t="s">
        <v>128</v>
      </c>
      <c r="W25" t="s">
        <v>648</v>
      </c>
      <c r="X25" t="s">
        <v>349</v>
      </c>
      <c r="Y25" t="s">
        <v>128</v>
      </c>
      <c r="Z25" t="s">
        <v>148</v>
      </c>
      <c r="AA25" t="s">
        <v>649</v>
      </c>
    </row>
    <row r="26" spans="1:27">
      <c r="A26" t="s">
        <v>701</v>
      </c>
      <c r="B26" s="1">
        <v>41464</v>
      </c>
      <c r="C26" t="s">
        <v>111</v>
      </c>
      <c r="D26" t="s">
        <v>112</v>
      </c>
      <c r="E26" t="s">
        <v>113</v>
      </c>
      <c r="F26" t="s">
        <v>114</v>
      </c>
      <c r="G26" t="s">
        <v>115</v>
      </c>
      <c r="H26" t="s">
        <v>116</v>
      </c>
      <c r="I26" t="s">
        <v>702</v>
      </c>
      <c r="J26" t="s">
        <v>118</v>
      </c>
      <c r="K26" t="s">
        <v>119</v>
      </c>
      <c r="L26" t="s">
        <v>120</v>
      </c>
      <c r="M26" t="s">
        <v>121</v>
      </c>
      <c r="N26" t="s">
        <v>122</v>
      </c>
      <c r="P26" t="s">
        <v>65</v>
      </c>
      <c r="Q26" t="s">
        <v>353</v>
      </c>
      <c r="R26" t="s">
        <v>135</v>
      </c>
      <c r="S26" t="s">
        <v>248</v>
      </c>
      <c r="T26" t="s">
        <v>355</v>
      </c>
      <c r="U26" t="s">
        <v>127</v>
      </c>
      <c r="V26" t="s">
        <v>128</v>
      </c>
      <c r="W26" t="s">
        <v>648</v>
      </c>
      <c r="X26" t="s">
        <v>349</v>
      </c>
      <c r="Y26" t="s">
        <v>128</v>
      </c>
      <c r="Z26" t="s">
        <v>148</v>
      </c>
      <c r="AA26" t="s">
        <v>649</v>
      </c>
    </row>
    <row r="27" spans="1:27">
      <c r="A27" t="s">
        <v>703</v>
      </c>
      <c r="B27" s="1">
        <v>41464</v>
      </c>
      <c r="C27" t="s">
        <v>111</v>
      </c>
      <c r="D27" t="s">
        <v>112</v>
      </c>
      <c r="E27" t="s">
        <v>113</v>
      </c>
      <c r="F27" t="s">
        <v>114</v>
      </c>
      <c r="G27" t="s">
        <v>115</v>
      </c>
      <c r="H27" t="s">
        <v>116</v>
      </c>
      <c r="I27" t="s">
        <v>704</v>
      </c>
      <c r="J27" t="s">
        <v>118</v>
      </c>
      <c r="K27" t="s">
        <v>119</v>
      </c>
      <c r="L27" t="s">
        <v>120</v>
      </c>
      <c r="M27" t="s">
        <v>121</v>
      </c>
      <c r="N27" t="s">
        <v>122</v>
      </c>
      <c r="P27" t="s">
        <v>65</v>
      </c>
      <c r="Q27" t="s">
        <v>353</v>
      </c>
      <c r="R27" t="s">
        <v>135</v>
      </c>
      <c r="S27" t="s">
        <v>248</v>
      </c>
      <c r="T27" t="s">
        <v>355</v>
      </c>
      <c r="U27" t="s">
        <v>127</v>
      </c>
      <c r="V27" t="s">
        <v>128</v>
      </c>
      <c r="W27" t="s">
        <v>648</v>
      </c>
      <c r="X27" t="s">
        <v>349</v>
      </c>
      <c r="Y27" t="s">
        <v>128</v>
      </c>
      <c r="Z27" t="s">
        <v>148</v>
      </c>
      <c r="AA27" t="s">
        <v>649</v>
      </c>
    </row>
    <row r="28" spans="1:27">
      <c r="A28" t="s">
        <v>705</v>
      </c>
      <c r="B28" s="1">
        <v>41464</v>
      </c>
      <c r="C28" t="s">
        <v>111</v>
      </c>
      <c r="D28" t="s">
        <v>112</v>
      </c>
      <c r="E28" t="s">
        <v>113</v>
      </c>
      <c r="F28" t="s">
        <v>114</v>
      </c>
      <c r="G28" t="s">
        <v>115</v>
      </c>
      <c r="H28" t="s">
        <v>116</v>
      </c>
      <c r="I28" t="s">
        <v>706</v>
      </c>
      <c r="J28" t="s">
        <v>118</v>
      </c>
      <c r="K28" t="s">
        <v>119</v>
      </c>
      <c r="L28" t="s">
        <v>120</v>
      </c>
      <c r="M28" t="s">
        <v>121</v>
      </c>
      <c r="N28" t="s">
        <v>122</v>
      </c>
      <c r="P28" t="s">
        <v>65</v>
      </c>
      <c r="Q28" t="s">
        <v>353</v>
      </c>
      <c r="R28" t="s">
        <v>135</v>
      </c>
      <c r="S28" t="s">
        <v>248</v>
      </c>
      <c r="T28" t="s">
        <v>355</v>
      </c>
      <c r="U28" t="s">
        <v>127</v>
      </c>
      <c r="V28" t="s">
        <v>128</v>
      </c>
      <c r="W28" t="s">
        <v>648</v>
      </c>
      <c r="X28" t="s">
        <v>349</v>
      </c>
      <c r="Y28" t="s">
        <v>128</v>
      </c>
      <c r="Z28" t="s">
        <v>148</v>
      </c>
      <c r="AA28" t="s">
        <v>649</v>
      </c>
    </row>
    <row r="29" spans="1:27">
      <c r="A29" t="s">
        <v>707</v>
      </c>
      <c r="B29" s="1">
        <v>41464</v>
      </c>
      <c r="C29" t="s">
        <v>111</v>
      </c>
      <c r="D29" t="s">
        <v>112</v>
      </c>
      <c r="E29" t="s">
        <v>113</v>
      </c>
      <c r="F29" t="s">
        <v>114</v>
      </c>
      <c r="G29" t="s">
        <v>115</v>
      </c>
      <c r="H29" t="s">
        <v>116</v>
      </c>
      <c r="I29" t="s">
        <v>708</v>
      </c>
      <c r="J29" t="s">
        <v>118</v>
      </c>
      <c r="K29" t="s">
        <v>119</v>
      </c>
      <c r="L29" t="s">
        <v>120</v>
      </c>
      <c r="M29" t="s">
        <v>121</v>
      </c>
      <c r="N29" t="s">
        <v>122</v>
      </c>
      <c r="P29" t="s">
        <v>65</v>
      </c>
      <c r="Q29" t="s">
        <v>353</v>
      </c>
      <c r="R29" t="s">
        <v>135</v>
      </c>
      <c r="S29" t="s">
        <v>248</v>
      </c>
      <c r="T29" t="s">
        <v>355</v>
      </c>
      <c r="U29" t="s">
        <v>127</v>
      </c>
      <c r="V29" t="s">
        <v>128</v>
      </c>
      <c r="W29" t="s">
        <v>648</v>
      </c>
      <c r="X29" t="s">
        <v>349</v>
      </c>
      <c r="Y29" t="s">
        <v>128</v>
      </c>
      <c r="Z29" t="s">
        <v>148</v>
      </c>
      <c r="AA29" t="s">
        <v>649</v>
      </c>
    </row>
    <row r="30" spans="1:27">
      <c r="A30" t="s">
        <v>709</v>
      </c>
      <c r="B30" s="1">
        <v>41464</v>
      </c>
      <c r="C30" t="s">
        <v>111</v>
      </c>
      <c r="D30" t="s">
        <v>112</v>
      </c>
      <c r="E30" t="s">
        <v>113</v>
      </c>
      <c r="F30" t="s">
        <v>114</v>
      </c>
      <c r="G30" t="s">
        <v>115</v>
      </c>
      <c r="H30" t="s">
        <v>116</v>
      </c>
      <c r="I30" t="s">
        <v>710</v>
      </c>
      <c r="J30" t="s">
        <v>118</v>
      </c>
      <c r="K30" t="s">
        <v>119</v>
      </c>
      <c r="L30" t="s">
        <v>120</v>
      </c>
      <c r="M30" t="s">
        <v>121</v>
      </c>
      <c r="N30" t="s">
        <v>122</v>
      </c>
      <c r="P30" t="s">
        <v>65</v>
      </c>
      <c r="Q30" t="s">
        <v>353</v>
      </c>
      <c r="R30" t="s">
        <v>135</v>
      </c>
      <c r="S30" t="s">
        <v>248</v>
      </c>
      <c r="T30" t="s">
        <v>355</v>
      </c>
      <c r="U30" t="s">
        <v>127</v>
      </c>
      <c r="V30" t="s">
        <v>128</v>
      </c>
      <c r="W30" t="s">
        <v>648</v>
      </c>
      <c r="X30" t="s">
        <v>349</v>
      </c>
      <c r="Y30" t="s">
        <v>128</v>
      </c>
      <c r="Z30" t="s">
        <v>148</v>
      </c>
      <c r="AA30" t="s">
        <v>649</v>
      </c>
    </row>
    <row r="31" spans="1:27">
      <c r="A31" t="s">
        <v>711</v>
      </c>
      <c r="B31" s="1">
        <v>41464</v>
      </c>
      <c r="C31" t="s">
        <v>111</v>
      </c>
      <c r="D31" t="s">
        <v>112</v>
      </c>
      <c r="E31" t="s">
        <v>113</v>
      </c>
      <c r="F31" t="s">
        <v>114</v>
      </c>
      <c r="G31" t="s">
        <v>115</v>
      </c>
      <c r="H31" t="s">
        <v>116</v>
      </c>
      <c r="I31" t="s">
        <v>712</v>
      </c>
      <c r="J31" t="s">
        <v>118</v>
      </c>
      <c r="K31" t="s">
        <v>119</v>
      </c>
      <c r="L31" t="s">
        <v>120</v>
      </c>
      <c r="M31" t="s">
        <v>121</v>
      </c>
      <c r="N31" t="s">
        <v>122</v>
      </c>
      <c r="P31" t="s">
        <v>65</v>
      </c>
      <c r="Q31" t="s">
        <v>353</v>
      </c>
      <c r="R31" t="s">
        <v>135</v>
      </c>
      <c r="S31" t="s">
        <v>248</v>
      </c>
      <c r="T31" t="s">
        <v>355</v>
      </c>
      <c r="U31" t="s">
        <v>127</v>
      </c>
      <c r="V31" t="s">
        <v>128</v>
      </c>
      <c r="W31" t="s">
        <v>648</v>
      </c>
      <c r="X31" t="s">
        <v>349</v>
      </c>
      <c r="Y31" t="s">
        <v>128</v>
      </c>
      <c r="Z31" t="s">
        <v>148</v>
      </c>
      <c r="AA31" t="s">
        <v>649</v>
      </c>
    </row>
    <row r="32" spans="1:27">
      <c r="A32" t="s">
        <v>713</v>
      </c>
      <c r="B32" s="1">
        <v>41464</v>
      </c>
      <c r="C32" t="s">
        <v>111</v>
      </c>
      <c r="D32" t="s">
        <v>112</v>
      </c>
      <c r="E32" t="s">
        <v>113</v>
      </c>
      <c r="F32" t="s">
        <v>114</v>
      </c>
      <c r="G32" t="s">
        <v>115</v>
      </c>
      <c r="H32" t="s">
        <v>116</v>
      </c>
      <c r="I32" t="s">
        <v>714</v>
      </c>
      <c r="J32" t="s">
        <v>118</v>
      </c>
      <c r="K32" t="s">
        <v>119</v>
      </c>
      <c r="L32" t="s">
        <v>120</v>
      </c>
      <c r="M32" t="s">
        <v>121</v>
      </c>
      <c r="N32" t="s">
        <v>122</v>
      </c>
      <c r="P32" t="s">
        <v>65</v>
      </c>
      <c r="Q32" t="s">
        <v>353</v>
      </c>
      <c r="R32" t="s">
        <v>135</v>
      </c>
      <c r="S32" t="s">
        <v>248</v>
      </c>
      <c r="T32" t="s">
        <v>355</v>
      </c>
      <c r="U32" t="s">
        <v>127</v>
      </c>
      <c r="V32" t="s">
        <v>128</v>
      </c>
      <c r="W32" t="s">
        <v>654</v>
      </c>
      <c r="X32" t="s">
        <v>349</v>
      </c>
      <c r="Y32" t="s">
        <v>128</v>
      </c>
      <c r="Z32" t="s">
        <v>148</v>
      </c>
      <c r="AA32" t="s">
        <v>655</v>
      </c>
    </row>
    <row r="33" spans="1:27">
      <c r="A33" t="s">
        <v>715</v>
      </c>
      <c r="B33" s="1">
        <v>41464</v>
      </c>
      <c r="C33" t="s">
        <v>111</v>
      </c>
      <c r="D33" t="s">
        <v>112</v>
      </c>
      <c r="E33" t="s">
        <v>113</v>
      </c>
      <c r="F33" t="s">
        <v>114</v>
      </c>
      <c r="G33" t="s">
        <v>115</v>
      </c>
      <c r="H33" t="s">
        <v>116</v>
      </c>
      <c r="I33" t="s">
        <v>716</v>
      </c>
      <c r="J33" t="s">
        <v>118</v>
      </c>
      <c r="K33" t="s">
        <v>119</v>
      </c>
      <c r="L33" t="s">
        <v>120</v>
      </c>
      <c r="M33" t="s">
        <v>121</v>
      </c>
      <c r="N33" t="s">
        <v>122</v>
      </c>
      <c r="P33" t="s">
        <v>65</v>
      </c>
      <c r="Q33" t="s">
        <v>353</v>
      </c>
      <c r="R33" t="s">
        <v>135</v>
      </c>
      <c r="S33" t="s">
        <v>248</v>
      </c>
      <c r="T33" t="s">
        <v>355</v>
      </c>
      <c r="U33" t="s">
        <v>127</v>
      </c>
      <c r="V33" t="s">
        <v>128</v>
      </c>
      <c r="W33" t="s">
        <v>648</v>
      </c>
      <c r="X33" t="s">
        <v>349</v>
      </c>
      <c r="Y33" t="s">
        <v>128</v>
      </c>
      <c r="Z33" t="s">
        <v>148</v>
      </c>
      <c r="AA33" t="s">
        <v>649</v>
      </c>
    </row>
    <row r="34" spans="1:27">
      <c r="A34" t="s">
        <v>717</v>
      </c>
      <c r="B34" s="1">
        <v>41464</v>
      </c>
      <c r="C34" t="s">
        <v>111</v>
      </c>
      <c r="D34" t="s">
        <v>112</v>
      </c>
      <c r="E34" t="s">
        <v>113</v>
      </c>
      <c r="F34" t="s">
        <v>114</v>
      </c>
      <c r="G34" t="s">
        <v>115</v>
      </c>
      <c r="H34" t="s">
        <v>116</v>
      </c>
      <c r="I34" t="s">
        <v>718</v>
      </c>
      <c r="J34" t="s">
        <v>118</v>
      </c>
      <c r="K34" t="s">
        <v>119</v>
      </c>
      <c r="L34" t="s">
        <v>120</v>
      </c>
      <c r="M34" t="s">
        <v>121</v>
      </c>
      <c r="N34" t="s">
        <v>122</v>
      </c>
      <c r="P34" t="s">
        <v>65</v>
      </c>
      <c r="Q34" t="s">
        <v>353</v>
      </c>
      <c r="R34" t="s">
        <v>135</v>
      </c>
      <c r="S34" t="s">
        <v>248</v>
      </c>
      <c r="T34" t="s">
        <v>355</v>
      </c>
      <c r="U34" t="s">
        <v>127</v>
      </c>
      <c r="V34" t="s">
        <v>128</v>
      </c>
      <c r="W34" t="s">
        <v>654</v>
      </c>
      <c r="X34" t="s">
        <v>349</v>
      </c>
      <c r="Y34" t="s">
        <v>128</v>
      </c>
      <c r="Z34" t="s">
        <v>148</v>
      </c>
      <c r="AA34" t="s">
        <v>655</v>
      </c>
    </row>
    <row r="35" spans="1:27">
      <c r="A35" t="s">
        <v>719</v>
      </c>
      <c r="B35" s="1">
        <v>41464</v>
      </c>
      <c r="C35" t="s">
        <v>111</v>
      </c>
      <c r="D35" t="s">
        <v>112</v>
      </c>
      <c r="E35" t="s">
        <v>113</v>
      </c>
      <c r="F35" t="s">
        <v>114</v>
      </c>
      <c r="G35" t="s">
        <v>115</v>
      </c>
      <c r="H35" t="s">
        <v>116</v>
      </c>
      <c r="I35" t="s">
        <v>720</v>
      </c>
      <c r="J35" t="s">
        <v>118</v>
      </c>
      <c r="K35" t="s">
        <v>119</v>
      </c>
      <c r="L35" t="s">
        <v>120</v>
      </c>
      <c r="M35" t="s">
        <v>121</v>
      </c>
      <c r="N35" t="s">
        <v>122</v>
      </c>
      <c r="P35" t="s">
        <v>65</v>
      </c>
      <c r="Q35" t="s">
        <v>353</v>
      </c>
      <c r="R35" t="s">
        <v>135</v>
      </c>
      <c r="S35" t="s">
        <v>248</v>
      </c>
      <c r="T35" t="s">
        <v>355</v>
      </c>
      <c r="U35" t="s">
        <v>127</v>
      </c>
      <c r="V35" t="s">
        <v>128</v>
      </c>
      <c r="W35" t="s">
        <v>648</v>
      </c>
      <c r="X35" t="s">
        <v>349</v>
      </c>
      <c r="Y35" t="s">
        <v>128</v>
      </c>
      <c r="Z35" t="s">
        <v>148</v>
      </c>
      <c r="AA35" t="s">
        <v>649</v>
      </c>
    </row>
    <row r="36" spans="1:27">
      <c r="A36" t="s">
        <v>721</v>
      </c>
      <c r="B36" s="1">
        <v>41464</v>
      </c>
      <c r="C36" t="s">
        <v>111</v>
      </c>
      <c r="D36" t="s">
        <v>112</v>
      </c>
      <c r="E36" t="s">
        <v>113</v>
      </c>
      <c r="F36" t="s">
        <v>114</v>
      </c>
      <c r="G36" t="s">
        <v>115</v>
      </c>
      <c r="H36" t="s">
        <v>116</v>
      </c>
      <c r="I36" t="s">
        <v>722</v>
      </c>
      <c r="J36" t="s">
        <v>118</v>
      </c>
      <c r="K36" t="s">
        <v>119</v>
      </c>
      <c r="L36" t="s">
        <v>120</v>
      </c>
      <c r="M36" t="s">
        <v>121</v>
      </c>
      <c r="N36" t="s">
        <v>122</v>
      </c>
      <c r="P36" t="s">
        <v>65</v>
      </c>
      <c r="Q36" t="s">
        <v>353</v>
      </c>
      <c r="R36" t="s">
        <v>135</v>
      </c>
      <c r="S36" t="s">
        <v>248</v>
      </c>
      <c r="T36" t="s">
        <v>355</v>
      </c>
      <c r="U36" t="s">
        <v>127</v>
      </c>
      <c r="V36" t="s">
        <v>128</v>
      </c>
      <c r="W36" t="s">
        <v>648</v>
      </c>
      <c r="X36" t="s">
        <v>349</v>
      </c>
      <c r="Y36" t="s">
        <v>128</v>
      </c>
      <c r="Z36" t="s">
        <v>148</v>
      </c>
      <c r="AA36" t="s">
        <v>649</v>
      </c>
    </row>
    <row r="37" spans="1:27">
      <c r="A37" t="s">
        <v>723</v>
      </c>
      <c r="B37" s="1">
        <v>41464</v>
      </c>
      <c r="C37" t="s">
        <v>111</v>
      </c>
      <c r="D37" t="s">
        <v>112</v>
      </c>
      <c r="E37" t="s">
        <v>113</v>
      </c>
      <c r="F37" t="s">
        <v>114</v>
      </c>
      <c r="G37" t="s">
        <v>115</v>
      </c>
      <c r="H37" t="s">
        <v>116</v>
      </c>
      <c r="I37" t="s">
        <v>724</v>
      </c>
      <c r="J37" t="s">
        <v>118</v>
      </c>
      <c r="K37" t="s">
        <v>119</v>
      </c>
      <c r="L37" t="s">
        <v>120</v>
      </c>
      <c r="M37" t="s">
        <v>121</v>
      </c>
      <c r="N37" t="s">
        <v>122</v>
      </c>
      <c r="P37" t="s">
        <v>65</v>
      </c>
      <c r="Q37" t="s">
        <v>353</v>
      </c>
      <c r="R37" t="s">
        <v>135</v>
      </c>
      <c r="S37" t="s">
        <v>248</v>
      </c>
      <c r="T37" t="s">
        <v>355</v>
      </c>
      <c r="U37" t="s">
        <v>127</v>
      </c>
      <c r="V37" t="s">
        <v>128</v>
      </c>
      <c r="W37" t="s">
        <v>648</v>
      </c>
      <c r="X37" t="s">
        <v>349</v>
      </c>
      <c r="Y37" t="s">
        <v>128</v>
      </c>
      <c r="Z37" t="s">
        <v>148</v>
      </c>
      <c r="AA37" t="s">
        <v>649</v>
      </c>
    </row>
    <row r="38" spans="1:27">
      <c r="A38" t="s">
        <v>725</v>
      </c>
      <c r="B38" s="1">
        <v>41464</v>
      </c>
      <c r="C38" t="s">
        <v>111</v>
      </c>
      <c r="D38" t="s">
        <v>112</v>
      </c>
      <c r="E38" t="s">
        <v>113</v>
      </c>
      <c r="F38" t="s">
        <v>114</v>
      </c>
      <c r="G38" t="s">
        <v>115</v>
      </c>
      <c r="H38" t="s">
        <v>116</v>
      </c>
      <c r="I38" t="s">
        <v>726</v>
      </c>
      <c r="J38" t="s">
        <v>118</v>
      </c>
      <c r="K38" t="s">
        <v>119</v>
      </c>
      <c r="L38" t="s">
        <v>120</v>
      </c>
      <c r="M38" t="s">
        <v>121</v>
      </c>
      <c r="N38" t="s">
        <v>122</v>
      </c>
      <c r="P38" t="s">
        <v>65</v>
      </c>
      <c r="Q38" t="s">
        <v>353</v>
      </c>
      <c r="R38" t="s">
        <v>135</v>
      </c>
      <c r="S38" t="s">
        <v>248</v>
      </c>
      <c r="T38" t="s">
        <v>355</v>
      </c>
      <c r="U38" t="s">
        <v>127</v>
      </c>
      <c r="V38" t="s">
        <v>128</v>
      </c>
      <c r="W38" t="s">
        <v>648</v>
      </c>
      <c r="X38" t="s">
        <v>349</v>
      </c>
      <c r="Y38" t="s">
        <v>128</v>
      </c>
      <c r="Z38" t="s">
        <v>148</v>
      </c>
      <c r="AA38" t="s">
        <v>649</v>
      </c>
    </row>
    <row r="39" spans="1:27">
      <c r="A39" t="s">
        <v>727</v>
      </c>
      <c r="B39" s="1">
        <v>41464</v>
      </c>
      <c r="C39" t="s">
        <v>111</v>
      </c>
      <c r="D39" t="s">
        <v>112</v>
      </c>
      <c r="E39" t="s">
        <v>113</v>
      </c>
      <c r="F39" t="s">
        <v>114</v>
      </c>
      <c r="G39" t="s">
        <v>115</v>
      </c>
      <c r="H39" t="s">
        <v>116</v>
      </c>
      <c r="I39" t="s">
        <v>728</v>
      </c>
      <c r="J39" t="s">
        <v>118</v>
      </c>
      <c r="K39" t="s">
        <v>119</v>
      </c>
      <c r="L39" t="s">
        <v>120</v>
      </c>
      <c r="M39" t="s">
        <v>121</v>
      </c>
      <c r="N39" t="s">
        <v>122</v>
      </c>
      <c r="P39" t="s">
        <v>65</v>
      </c>
      <c r="Q39" t="s">
        <v>353</v>
      </c>
      <c r="R39" t="s">
        <v>135</v>
      </c>
      <c r="S39" t="s">
        <v>248</v>
      </c>
      <c r="T39" t="s">
        <v>355</v>
      </c>
      <c r="U39" t="s">
        <v>127</v>
      </c>
      <c r="V39" t="s">
        <v>128</v>
      </c>
      <c r="W39" t="s">
        <v>648</v>
      </c>
      <c r="X39" t="s">
        <v>349</v>
      </c>
      <c r="Y39" t="s">
        <v>128</v>
      </c>
      <c r="Z39" t="s">
        <v>148</v>
      </c>
      <c r="AA39" t="s">
        <v>649</v>
      </c>
    </row>
    <row r="40" spans="1:27">
      <c r="A40" t="s">
        <v>729</v>
      </c>
      <c r="B40" s="1">
        <v>41464</v>
      </c>
      <c r="C40" t="s">
        <v>111</v>
      </c>
      <c r="D40" t="s">
        <v>112</v>
      </c>
      <c r="E40" t="s">
        <v>113</v>
      </c>
      <c r="F40" t="s">
        <v>114</v>
      </c>
      <c r="G40" t="s">
        <v>115</v>
      </c>
      <c r="H40" t="s">
        <v>116</v>
      </c>
      <c r="I40" t="s">
        <v>730</v>
      </c>
      <c r="J40" t="s">
        <v>118</v>
      </c>
      <c r="K40" t="s">
        <v>119</v>
      </c>
      <c r="L40" t="s">
        <v>120</v>
      </c>
      <c r="M40" t="s">
        <v>121</v>
      </c>
      <c r="N40" t="s">
        <v>122</v>
      </c>
      <c r="P40" t="s">
        <v>65</v>
      </c>
      <c r="Q40" t="s">
        <v>353</v>
      </c>
      <c r="R40" t="s">
        <v>135</v>
      </c>
      <c r="S40" t="s">
        <v>248</v>
      </c>
      <c r="T40" t="s">
        <v>355</v>
      </c>
      <c r="U40" t="s">
        <v>127</v>
      </c>
      <c r="V40" t="s">
        <v>128</v>
      </c>
      <c r="W40" t="s">
        <v>654</v>
      </c>
      <c r="X40" t="s">
        <v>349</v>
      </c>
      <c r="Y40" t="s">
        <v>128</v>
      </c>
      <c r="Z40" t="s">
        <v>148</v>
      </c>
      <c r="AA40" t="s">
        <v>655</v>
      </c>
    </row>
    <row r="41" spans="1:27">
      <c r="A41" t="s">
        <v>731</v>
      </c>
      <c r="B41" s="1">
        <v>41464</v>
      </c>
      <c r="C41" t="s">
        <v>111</v>
      </c>
      <c r="D41" t="s">
        <v>112</v>
      </c>
      <c r="E41" t="s">
        <v>113</v>
      </c>
      <c r="F41" t="s">
        <v>114</v>
      </c>
      <c r="G41" t="s">
        <v>115</v>
      </c>
      <c r="H41" t="s">
        <v>116</v>
      </c>
      <c r="I41" t="s">
        <v>732</v>
      </c>
      <c r="J41" t="s">
        <v>118</v>
      </c>
      <c r="K41" t="s">
        <v>119</v>
      </c>
      <c r="L41" t="s">
        <v>120</v>
      </c>
      <c r="M41" t="s">
        <v>121</v>
      </c>
      <c r="N41" t="s">
        <v>122</v>
      </c>
      <c r="P41" t="s">
        <v>65</v>
      </c>
      <c r="Q41" t="s">
        <v>353</v>
      </c>
      <c r="R41" t="s">
        <v>135</v>
      </c>
      <c r="S41" t="s">
        <v>248</v>
      </c>
      <c r="T41" t="s">
        <v>355</v>
      </c>
      <c r="U41" t="s">
        <v>127</v>
      </c>
      <c r="V41" t="s">
        <v>128</v>
      </c>
      <c r="W41" t="s">
        <v>648</v>
      </c>
      <c r="X41" t="s">
        <v>349</v>
      </c>
      <c r="Y41" t="s">
        <v>128</v>
      </c>
      <c r="Z41" t="s">
        <v>148</v>
      </c>
      <c r="AA41" t="s">
        <v>649</v>
      </c>
    </row>
    <row r="42" spans="1:27">
      <c r="A42" t="s">
        <v>733</v>
      </c>
      <c r="B42" s="1">
        <v>41464</v>
      </c>
      <c r="C42" t="s">
        <v>111</v>
      </c>
      <c r="D42" t="s">
        <v>112</v>
      </c>
      <c r="E42" t="s">
        <v>113</v>
      </c>
      <c r="F42" t="s">
        <v>114</v>
      </c>
      <c r="G42" t="s">
        <v>115</v>
      </c>
      <c r="H42" t="s">
        <v>116</v>
      </c>
      <c r="I42" t="s">
        <v>734</v>
      </c>
      <c r="J42" t="s">
        <v>118</v>
      </c>
      <c r="K42" t="s">
        <v>119</v>
      </c>
      <c r="L42" t="s">
        <v>120</v>
      </c>
      <c r="M42" t="s">
        <v>121</v>
      </c>
      <c r="N42" t="s">
        <v>122</v>
      </c>
      <c r="P42" t="s">
        <v>65</v>
      </c>
      <c r="Q42" t="s">
        <v>353</v>
      </c>
      <c r="R42" t="s">
        <v>135</v>
      </c>
      <c r="S42" t="s">
        <v>248</v>
      </c>
      <c r="T42" t="s">
        <v>355</v>
      </c>
      <c r="U42" t="s">
        <v>127</v>
      </c>
      <c r="V42" t="s">
        <v>128</v>
      </c>
      <c r="W42" t="s">
        <v>648</v>
      </c>
      <c r="X42" t="s">
        <v>349</v>
      </c>
      <c r="Y42" t="s">
        <v>128</v>
      </c>
      <c r="Z42" t="s">
        <v>148</v>
      </c>
      <c r="AA42" t="s">
        <v>649</v>
      </c>
    </row>
    <row r="43" spans="1:27">
      <c r="A43" t="s">
        <v>735</v>
      </c>
      <c r="B43" s="1">
        <v>41464</v>
      </c>
      <c r="C43" t="s">
        <v>111</v>
      </c>
      <c r="D43" t="s">
        <v>112</v>
      </c>
      <c r="E43" t="s">
        <v>113</v>
      </c>
      <c r="F43" t="s">
        <v>114</v>
      </c>
      <c r="G43" t="s">
        <v>115</v>
      </c>
      <c r="H43" t="s">
        <v>116</v>
      </c>
      <c r="I43" t="s">
        <v>736</v>
      </c>
      <c r="J43" t="s">
        <v>118</v>
      </c>
      <c r="K43" t="s">
        <v>119</v>
      </c>
      <c r="L43" t="s">
        <v>120</v>
      </c>
      <c r="M43" t="s">
        <v>121</v>
      </c>
      <c r="N43" t="s">
        <v>122</v>
      </c>
      <c r="P43" t="s">
        <v>65</v>
      </c>
      <c r="Q43" t="s">
        <v>353</v>
      </c>
      <c r="R43" t="s">
        <v>135</v>
      </c>
      <c r="S43" t="s">
        <v>248</v>
      </c>
      <c r="T43" t="s">
        <v>355</v>
      </c>
      <c r="U43" t="s">
        <v>127</v>
      </c>
      <c r="V43" t="s">
        <v>128</v>
      </c>
      <c r="W43" t="s">
        <v>654</v>
      </c>
      <c r="X43" t="s">
        <v>349</v>
      </c>
      <c r="Y43" t="s">
        <v>128</v>
      </c>
      <c r="Z43" t="s">
        <v>148</v>
      </c>
      <c r="AA43" t="s">
        <v>655</v>
      </c>
    </row>
    <row r="44" spans="1:27">
      <c r="A44" t="s">
        <v>737</v>
      </c>
      <c r="B44" s="1">
        <v>41464</v>
      </c>
      <c r="C44" t="s">
        <v>111</v>
      </c>
      <c r="D44" t="s">
        <v>112</v>
      </c>
      <c r="E44" t="s">
        <v>113</v>
      </c>
      <c r="F44" t="s">
        <v>114</v>
      </c>
      <c r="G44" t="s">
        <v>115</v>
      </c>
      <c r="H44" t="s">
        <v>116</v>
      </c>
      <c r="I44" t="s">
        <v>738</v>
      </c>
      <c r="J44" t="s">
        <v>118</v>
      </c>
      <c r="K44" t="s">
        <v>119</v>
      </c>
      <c r="L44" t="s">
        <v>120</v>
      </c>
      <c r="M44" t="s">
        <v>121</v>
      </c>
      <c r="N44" t="s">
        <v>122</v>
      </c>
      <c r="P44" t="s">
        <v>65</v>
      </c>
      <c r="Q44" t="s">
        <v>353</v>
      </c>
      <c r="R44" t="s">
        <v>135</v>
      </c>
      <c r="S44" t="s">
        <v>248</v>
      </c>
      <c r="T44" t="s">
        <v>355</v>
      </c>
      <c r="U44" t="s">
        <v>127</v>
      </c>
      <c r="V44" t="s">
        <v>128</v>
      </c>
      <c r="W44" t="s">
        <v>648</v>
      </c>
      <c r="X44" t="s">
        <v>349</v>
      </c>
      <c r="Y44" t="s">
        <v>128</v>
      </c>
      <c r="Z44" t="s">
        <v>148</v>
      </c>
      <c r="AA44" t="s">
        <v>649</v>
      </c>
    </row>
    <row r="45" spans="1:27">
      <c r="A45" t="s">
        <v>739</v>
      </c>
      <c r="B45" s="1">
        <v>41464</v>
      </c>
      <c r="C45" t="s">
        <v>111</v>
      </c>
      <c r="D45" t="s">
        <v>112</v>
      </c>
      <c r="E45" t="s">
        <v>113</v>
      </c>
      <c r="F45" t="s">
        <v>114</v>
      </c>
      <c r="G45" t="s">
        <v>115</v>
      </c>
      <c r="H45" t="s">
        <v>116</v>
      </c>
      <c r="I45" t="s">
        <v>740</v>
      </c>
      <c r="J45" t="s">
        <v>118</v>
      </c>
      <c r="K45" t="s">
        <v>119</v>
      </c>
      <c r="L45" t="s">
        <v>120</v>
      </c>
      <c r="M45" t="s">
        <v>121</v>
      </c>
      <c r="N45" t="s">
        <v>122</v>
      </c>
      <c r="P45" t="s">
        <v>65</v>
      </c>
      <c r="Q45" t="s">
        <v>353</v>
      </c>
      <c r="R45" t="s">
        <v>135</v>
      </c>
      <c r="S45" t="s">
        <v>248</v>
      </c>
      <c r="T45" t="s">
        <v>355</v>
      </c>
      <c r="U45" t="s">
        <v>127</v>
      </c>
      <c r="V45" t="s">
        <v>128</v>
      </c>
      <c r="W45" t="s">
        <v>648</v>
      </c>
      <c r="X45" t="s">
        <v>349</v>
      </c>
      <c r="Y45" t="s">
        <v>128</v>
      </c>
      <c r="Z45" t="s">
        <v>148</v>
      </c>
      <c r="AA45" t="s">
        <v>649</v>
      </c>
    </row>
    <row r="46" spans="1:27">
      <c r="A46" t="s">
        <v>741</v>
      </c>
      <c r="B46" s="1">
        <v>41464</v>
      </c>
      <c r="C46" t="s">
        <v>111</v>
      </c>
      <c r="D46" t="s">
        <v>112</v>
      </c>
      <c r="E46" t="s">
        <v>113</v>
      </c>
      <c r="F46" t="s">
        <v>114</v>
      </c>
      <c r="G46" t="s">
        <v>115</v>
      </c>
      <c r="H46" t="s">
        <v>116</v>
      </c>
      <c r="I46" t="s">
        <v>742</v>
      </c>
      <c r="J46" t="s">
        <v>118</v>
      </c>
      <c r="K46" t="s">
        <v>119</v>
      </c>
      <c r="L46" t="s">
        <v>120</v>
      </c>
      <c r="M46" t="s">
        <v>121</v>
      </c>
      <c r="N46" t="s">
        <v>122</v>
      </c>
      <c r="P46" t="s">
        <v>65</v>
      </c>
      <c r="Q46" t="s">
        <v>353</v>
      </c>
      <c r="R46" t="s">
        <v>135</v>
      </c>
      <c r="S46" t="s">
        <v>248</v>
      </c>
      <c r="T46" t="s">
        <v>355</v>
      </c>
      <c r="U46" t="s">
        <v>127</v>
      </c>
      <c r="V46" t="s">
        <v>128</v>
      </c>
      <c r="W46" t="s">
        <v>648</v>
      </c>
      <c r="X46" t="s">
        <v>349</v>
      </c>
      <c r="Y46" t="s">
        <v>128</v>
      </c>
      <c r="Z46" t="s">
        <v>148</v>
      </c>
      <c r="AA46" t="s">
        <v>649</v>
      </c>
    </row>
    <row r="47" spans="1:27">
      <c r="A47" t="s">
        <v>743</v>
      </c>
      <c r="B47" s="1">
        <v>41464</v>
      </c>
      <c r="C47" t="s">
        <v>111</v>
      </c>
      <c r="D47" t="s">
        <v>112</v>
      </c>
      <c r="E47" t="s">
        <v>113</v>
      </c>
      <c r="F47" t="s">
        <v>114</v>
      </c>
      <c r="G47" t="s">
        <v>115</v>
      </c>
      <c r="H47" t="s">
        <v>116</v>
      </c>
      <c r="I47" t="s">
        <v>744</v>
      </c>
      <c r="J47" t="s">
        <v>118</v>
      </c>
      <c r="K47" t="s">
        <v>119</v>
      </c>
      <c r="L47" t="s">
        <v>120</v>
      </c>
      <c r="M47" t="s">
        <v>121</v>
      </c>
      <c r="N47" t="s">
        <v>122</v>
      </c>
      <c r="P47" t="s">
        <v>65</v>
      </c>
      <c r="Q47" t="s">
        <v>353</v>
      </c>
      <c r="R47" t="s">
        <v>135</v>
      </c>
      <c r="S47" t="s">
        <v>248</v>
      </c>
      <c r="T47" t="s">
        <v>355</v>
      </c>
      <c r="U47" t="s">
        <v>127</v>
      </c>
      <c r="V47" t="s">
        <v>128</v>
      </c>
      <c r="W47" t="s">
        <v>654</v>
      </c>
      <c r="X47" t="s">
        <v>349</v>
      </c>
      <c r="Y47" t="s">
        <v>128</v>
      </c>
      <c r="Z47" t="s">
        <v>148</v>
      </c>
      <c r="AA47" t="s">
        <v>655</v>
      </c>
    </row>
    <row r="48" spans="1:27">
      <c r="A48" t="s">
        <v>746</v>
      </c>
      <c r="B48" s="1">
        <v>41464</v>
      </c>
      <c r="C48" t="s">
        <v>111</v>
      </c>
      <c r="D48" t="s">
        <v>112</v>
      </c>
      <c r="E48" t="s">
        <v>113</v>
      </c>
      <c r="F48" t="s">
        <v>114</v>
      </c>
      <c r="G48" t="s">
        <v>115</v>
      </c>
      <c r="H48" t="s">
        <v>116</v>
      </c>
      <c r="I48" t="s">
        <v>747</v>
      </c>
      <c r="J48" t="s">
        <v>118</v>
      </c>
      <c r="K48" t="s">
        <v>119</v>
      </c>
      <c r="L48" t="s">
        <v>120</v>
      </c>
      <c r="M48" t="s">
        <v>121</v>
      </c>
      <c r="N48" t="s">
        <v>122</v>
      </c>
      <c r="P48" t="s">
        <v>65</v>
      </c>
      <c r="Q48" t="s">
        <v>353</v>
      </c>
      <c r="R48" t="s">
        <v>135</v>
      </c>
      <c r="S48" t="s">
        <v>248</v>
      </c>
      <c r="T48" t="s">
        <v>355</v>
      </c>
      <c r="U48" t="s">
        <v>127</v>
      </c>
      <c r="V48" t="s">
        <v>128</v>
      </c>
      <c r="W48" t="s">
        <v>648</v>
      </c>
      <c r="X48" t="s">
        <v>349</v>
      </c>
      <c r="Y48" t="s">
        <v>128</v>
      </c>
      <c r="Z48" t="s">
        <v>148</v>
      </c>
      <c r="AA48" t="s">
        <v>649</v>
      </c>
    </row>
    <row r="49" spans="1:27">
      <c r="A49" t="s">
        <v>748</v>
      </c>
      <c r="B49" s="1">
        <v>41464</v>
      </c>
      <c r="C49" t="s">
        <v>111</v>
      </c>
      <c r="D49" t="s">
        <v>112</v>
      </c>
      <c r="E49" t="s">
        <v>113</v>
      </c>
      <c r="F49" t="s">
        <v>114</v>
      </c>
      <c r="G49" t="s">
        <v>115</v>
      </c>
      <c r="H49" t="s">
        <v>116</v>
      </c>
      <c r="I49" t="s">
        <v>749</v>
      </c>
      <c r="J49" t="s">
        <v>118</v>
      </c>
      <c r="K49" t="s">
        <v>119</v>
      </c>
      <c r="L49" t="s">
        <v>120</v>
      </c>
      <c r="M49" t="s">
        <v>121</v>
      </c>
      <c r="N49" t="s">
        <v>122</v>
      </c>
      <c r="P49" t="s">
        <v>65</v>
      </c>
      <c r="Q49" t="s">
        <v>353</v>
      </c>
      <c r="R49" t="s">
        <v>135</v>
      </c>
      <c r="S49" t="s">
        <v>248</v>
      </c>
      <c r="T49" t="s">
        <v>355</v>
      </c>
      <c r="U49" t="s">
        <v>127</v>
      </c>
      <c r="V49" t="s">
        <v>128</v>
      </c>
      <c r="W49" t="s">
        <v>654</v>
      </c>
      <c r="X49" t="s">
        <v>349</v>
      </c>
      <c r="Y49" t="s">
        <v>128</v>
      </c>
      <c r="Z49" t="s">
        <v>148</v>
      </c>
      <c r="AA49" t="s">
        <v>655</v>
      </c>
    </row>
    <row r="50" spans="1:27">
      <c r="A50" t="s">
        <v>750</v>
      </c>
      <c r="B50" s="1">
        <v>41464</v>
      </c>
      <c r="C50" t="s">
        <v>111</v>
      </c>
      <c r="D50" t="s">
        <v>112</v>
      </c>
      <c r="E50" t="s">
        <v>113</v>
      </c>
      <c r="F50" t="s">
        <v>114</v>
      </c>
      <c r="G50" t="s">
        <v>115</v>
      </c>
      <c r="H50" t="s">
        <v>116</v>
      </c>
      <c r="I50" t="s">
        <v>751</v>
      </c>
      <c r="J50" t="s">
        <v>118</v>
      </c>
      <c r="K50" t="s">
        <v>119</v>
      </c>
      <c r="L50" t="s">
        <v>120</v>
      </c>
      <c r="M50" t="s">
        <v>121</v>
      </c>
      <c r="N50" t="s">
        <v>122</v>
      </c>
      <c r="P50" t="s">
        <v>65</v>
      </c>
      <c r="Q50" t="s">
        <v>353</v>
      </c>
      <c r="R50" t="s">
        <v>135</v>
      </c>
      <c r="S50" t="s">
        <v>248</v>
      </c>
      <c r="T50" t="s">
        <v>355</v>
      </c>
      <c r="U50" t="s">
        <v>127</v>
      </c>
      <c r="V50" t="s">
        <v>128</v>
      </c>
      <c r="W50" t="s">
        <v>648</v>
      </c>
      <c r="X50" t="s">
        <v>349</v>
      </c>
      <c r="Y50" t="s">
        <v>128</v>
      </c>
      <c r="Z50" t="s">
        <v>148</v>
      </c>
      <c r="AA50" t="s">
        <v>649</v>
      </c>
    </row>
    <row r="51" spans="1:27">
      <c r="A51" t="s">
        <v>752</v>
      </c>
      <c r="B51" s="1">
        <v>41464</v>
      </c>
      <c r="C51" t="s">
        <v>111</v>
      </c>
      <c r="D51" t="s">
        <v>112</v>
      </c>
      <c r="E51" t="s">
        <v>113</v>
      </c>
      <c r="F51" t="s">
        <v>114</v>
      </c>
      <c r="G51" t="s">
        <v>115</v>
      </c>
      <c r="H51" t="s">
        <v>116</v>
      </c>
      <c r="I51" t="s">
        <v>753</v>
      </c>
      <c r="J51" t="s">
        <v>118</v>
      </c>
      <c r="K51" t="s">
        <v>119</v>
      </c>
      <c r="L51" t="s">
        <v>120</v>
      </c>
      <c r="M51" t="s">
        <v>121</v>
      </c>
      <c r="N51" t="s">
        <v>122</v>
      </c>
      <c r="P51" t="s">
        <v>65</v>
      </c>
      <c r="Q51" t="s">
        <v>353</v>
      </c>
      <c r="R51" t="s">
        <v>135</v>
      </c>
      <c r="S51" t="s">
        <v>248</v>
      </c>
      <c r="T51" t="s">
        <v>355</v>
      </c>
      <c r="U51" t="s">
        <v>127</v>
      </c>
      <c r="V51" t="s">
        <v>128</v>
      </c>
      <c r="W51" t="s">
        <v>654</v>
      </c>
      <c r="X51" t="s">
        <v>349</v>
      </c>
      <c r="Y51" t="s">
        <v>128</v>
      </c>
      <c r="Z51" t="s">
        <v>148</v>
      </c>
      <c r="AA51" t="s">
        <v>655</v>
      </c>
    </row>
    <row r="52" spans="1:27">
      <c r="A52" t="s">
        <v>754</v>
      </c>
      <c r="B52" s="1">
        <v>41464</v>
      </c>
      <c r="C52" t="s">
        <v>111</v>
      </c>
      <c r="D52" t="s">
        <v>112</v>
      </c>
      <c r="E52" t="s">
        <v>113</v>
      </c>
      <c r="F52" t="s">
        <v>114</v>
      </c>
      <c r="G52" t="s">
        <v>115</v>
      </c>
      <c r="H52" t="s">
        <v>116</v>
      </c>
      <c r="I52" t="s">
        <v>755</v>
      </c>
      <c r="J52" t="s">
        <v>118</v>
      </c>
      <c r="K52" t="s">
        <v>119</v>
      </c>
      <c r="L52" t="s">
        <v>120</v>
      </c>
      <c r="M52" t="s">
        <v>121</v>
      </c>
      <c r="N52" t="s">
        <v>122</v>
      </c>
      <c r="P52" t="s">
        <v>65</v>
      </c>
      <c r="Q52" t="s">
        <v>353</v>
      </c>
      <c r="R52" t="s">
        <v>135</v>
      </c>
      <c r="S52" t="s">
        <v>248</v>
      </c>
      <c r="T52" t="s">
        <v>355</v>
      </c>
      <c r="U52" t="s">
        <v>127</v>
      </c>
      <c r="V52" t="s">
        <v>128</v>
      </c>
      <c r="W52" t="s">
        <v>648</v>
      </c>
      <c r="X52" t="s">
        <v>349</v>
      </c>
      <c r="Y52" t="s">
        <v>128</v>
      </c>
      <c r="Z52" t="s">
        <v>148</v>
      </c>
      <c r="AA52" t="s">
        <v>649</v>
      </c>
    </row>
    <row r="53" spans="1:27">
      <c r="A53" t="s">
        <v>756</v>
      </c>
      <c r="B53" s="1">
        <v>41464</v>
      </c>
      <c r="C53" t="s">
        <v>111</v>
      </c>
      <c r="D53" t="s">
        <v>112</v>
      </c>
      <c r="E53" t="s">
        <v>113</v>
      </c>
      <c r="F53" t="s">
        <v>114</v>
      </c>
      <c r="G53" t="s">
        <v>115</v>
      </c>
      <c r="H53" t="s">
        <v>116</v>
      </c>
      <c r="I53" t="s">
        <v>757</v>
      </c>
      <c r="J53" t="s">
        <v>118</v>
      </c>
      <c r="K53" t="s">
        <v>119</v>
      </c>
      <c r="L53" t="s">
        <v>120</v>
      </c>
      <c r="M53" t="s">
        <v>121</v>
      </c>
      <c r="N53" t="s">
        <v>122</v>
      </c>
      <c r="P53" t="s">
        <v>54</v>
      </c>
      <c r="Q53" t="s">
        <v>178</v>
      </c>
      <c r="R53" t="s">
        <v>135</v>
      </c>
      <c r="S53" t="s">
        <v>125</v>
      </c>
      <c r="T53" t="s">
        <v>126</v>
      </c>
      <c r="U53" t="s">
        <v>145</v>
      </c>
      <c r="V53" t="s">
        <v>128</v>
      </c>
      <c r="W53" t="s">
        <v>223</v>
      </c>
      <c r="X53" t="s">
        <v>758</v>
      </c>
      <c r="Y53" t="s">
        <v>128</v>
      </c>
      <c r="Z53" t="s">
        <v>303</v>
      </c>
      <c r="AA53" t="s">
        <v>226</v>
      </c>
    </row>
    <row r="54" spans="1:27">
      <c r="A54" t="s">
        <v>759</v>
      </c>
      <c r="B54" s="1">
        <v>41464</v>
      </c>
      <c r="C54" t="s">
        <v>111</v>
      </c>
      <c r="D54" t="s">
        <v>112</v>
      </c>
      <c r="E54" t="s">
        <v>113</v>
      </c>
      <c r="F54" t="s">
        <v>114</v>
      </c>
      <c r="G54" t="s">
        <v>115</v>
      </c>
      <c r="H54" t="s">
        <v>116</v>
      </c>
      <c r="I54" t="s">
        <v>760</v>
      </c>
      <c r="J54" t="s">
        <v>118</v>
      </c>
      <c r="K54" t="s">
        <v>119</v>
      </c>
      <c r="L54" t="s">
        <v>120</v>
      </c>
      <c r="M54" t="s">
        <v>121</v>
      </c>
      <c r="N54" t="s">
        <v>122</v>
      </c>
      <c r="P54" t="s">
        <v>65</v>
      </c>
      <c r="Q54" t="s">
        <v>353</v>
      </c>
      <c r="R54" t="s">
        <v>135</v>
      </c>
      <c r="S54" t="s">
        <v>248</v>
      </c>
      <c r="T54" t="s">
        <v>355</v>
      </c>
      <c r="U54" t="s">
        <v>127</v>
      </c>
      <c r="V54" t="s">
        <v>128</v>
      </c>
      <c r="W54" t="s">
        <v>648</v>
      </c>
      <c r="X54" t="s">
        <v>349</v>
      </c>
      <c r="Y54" t="s">
        <v>128</v>
      </c>
      <c r="Z54" t="s">
        <v>148</v>
      </c>
      <c r="AA54" t="s">
        <v>649</v>
      </c>
    </row>
    <row r="55" spans="1:27">
      <c r="A55" t="s">
        <v>761</v>
      </c>
      <c r="B55" s="1">
        <v>41464</v>
      </c>
      <c r="C55" t="s">
        <v>111</v>
      </c>
      <c r="D55" t="s">
        <v>112</v>
      </c>
      <c r="E55" t="s">
        <v>113</v>
      </c>
      <c r="F55" t="s">
        <v>114</v>
      </c>
      <c r="G55" t="s">
        <v>115</v>
      </c>
      <c r="H55" t="s">
        <v>116</v>
      </c>
      <c r="I55" t="s">
        <v>762</v>
      </c>
      <c r="J55" t="s">
        <v>118</v>
      </c>
      <c r="K55" t="s">
        <v>119</v>
      </c>
      <c r="L55" t="s">
        <v>120</v>
      </c>
      <c r="M55" t="s">
        <v>121</v>
      </c>
      <c r="N55" t="s">
        <v>122</v>
      </c>
      <c r="P55" t="s">
        <v>65</v>
      </c>
      <c r="Q55" t="s">
        <v>353</v>
      </c>
      <c r="R55" t="s">
        <v>135</v>
      </c>
      <c r="S55" t="s">
        <v>248</v>
      </c>
      <c r="T55" t="s">
        <v>355</v>
      </c>
      <c r="U55" t="s">
        <v>127</v>
      </c>
      <c r="V55" t="s">
        <v>128</v>
      </c>
      <c r="W55" t="s">
        <v>648</v>
      </c>
      <c r="X55" t="s">
        <v>349</v>
      </c>
      <c r="Y55" t="s">
        <v>128</v>
      </c>
      <c r="Z55" t="s">
        <v>148</v>
      </c>
      <c r="AA55" t="s">
        <v>649</v>
      </c>
    </row>
    <row r="56" spans="1:27">
      <c r="A56" t="s">
        <v>763</v>
      </c>
      <c r="B56" s="1">
        <v>41464</v>
      </c>
      <c r="C56" t="s">
        <v>111</v>
      </c>
      <c r="D56" t="s">
        <v>112</v>
      </c>
      <c r="E56" t="s">
        <v>113</v>
      </c>
      <c r="F56" t="s">
        <v>114</v>
      </c>
      <c r="G56" t="s">
        <v>115</v>
      </c>
      <c r="H56" t="s">
        <v>116</v>
      </c>
      <c r="I56" t="s">
        <v>764</v>
      </c>
      <c r="J56" t="s">
        <v>118</v>
      </c>
      <c r="K56" t="s">
        <v>119</v>
      </c>
      <c r="L56" t="s">
        <v>120</v>
      </c>
      <c r="M56" t="s">
        <v>121</v>
      </c>
      <c r="N56" t="s">
        <v>122</v>
      </c>
      <c r="P56" t="s">
        <v>65</v>
      </c>
      <c r="Q56" t="s">
        <v>353</v>
      </c>
      <c r="R56" t="s">
        <v>135</v>
      </c>
      <c r="S56" t="s">
        <v>248</v>
      </c>
      <c r="T56" t="s">
        <v>355</v>
      </c>
      <c r="U56" t="s">
        <v>127</v>
      </c>
      <c r="V56" t="s">
        <v>128</v>
      </c>
      <c r="W56" t="s">
        <v>648</v>
      </c>
      <c r="X56" t="s">
        <v>349</v>
      </c>
      <c r="Y56" t="s">
        <v>128</v>
      </c>
      <c r="Z56" t="s">
        <v>148</v>
      </c>
      <c r="AA56" t="s">
        <v>649</v>
      </c>
    </row>
    <row r="57" spans="1:27">
      <c r="A57" t="s">
        <v>765</v>
      </c>
      <c r="B57" s="1">
        <v>41464</v>
      </c>
      <c r="C57" t="s">
        <v>111</v>
      </c>
      <c r="D57" t="s">
        <v>112</v>
      </c>
      <c r="E57" t="s">
        <v>113</v>
      </c>
      <c r="F57" t="s">
        <v>114</v>
      </c>
      <c r="G57" t="s">
        <v>115</v>
      </c>
      <c r="H57" t="s">
        <v>116</v>
      </c>
      <c r="I57" t="s">
        <v>766</v>
      </c>
      <c r="J57" t="s">
        <v>118</v>
      </c>
      <c r="K57" t="s">
        <v>119</v>
      </c>
      <c r="L57" t="s">
        <v>120</v>
      </c>
      <c r="M57" t="s">
        <v>121</v>
      </c>
      <c r="N57" t="s">
        <v>122</v>
      </c>
      <c r="P57" t="s">
        <v>65</v>
      </c>
      <c r="Q57" t="s">
        <v>353</v>
      </c>
      <c r="R57" t="s">
        <v>135</v>
      </c>
      <c r="S57" t="s">
        <v>248</v>
      </c>
      <c r="T57" t="s">
        <v>355</v>
      </c>
      <c r="U57" t="s">
        <v>127</v>
      </c>
      <c r="V57" t="s">
        <v>128</v>
      </c>
      <c r="W57" t="s">
        <v>648</v>
      </c>
      <c r="X57" t="s">
        <v>349</v>
      </c>
      <c r="Y57" t="s">
        <v>128</v>
      </c>
      <c r="Z57" t="s">
        <v>148</v>
      </c>
      <c r="AA57" t="s">
        <v>649</v>
      </c>
    </row>
    <row r="58" spans="1:27">
      <c r="A58" t="s">
        <v>767</v>
      </c>
      <c r="B58" s="1">
        <v>41464</v>
      </c>
      <c r="C58" t="s">
        <v>111</v>
      </c>
      <c r="D58" t="s">
        <v>112</v>
      </c>
      <c r="E58" t="s">
        <v>113</v>
      </c>
      <c r="F58" t="s">
        <v>114</v>
      </c>
      <c r="G58" t="s">
        <v>115</v>
      </c>
      <c r="H58" t="s">
        <v>116</v>
      </c>
      <c r="I58" t="s">
        <v>768</v>
      </c>
      <c r="J58" t="s">
        <v>118</v>
      </c>
      <c r="K58" t="s">
        <v>119</v>
      </c>
      <c r="L58" t="s">
        <v>120</v>
      </c>
      <c r="M58" t="s">
        <v>121</v>
      </c>
      <c r="N58" t="s">
        <v>122</v>
      </c>
      <c r="P58" t="s">
        <v>65</v>
      </c>
      <c r="Q58" t="s">
        <v>353</v>
      </c>
      <c r="R58" t="s">
        <v>135</v>
      </c>
      <c r="S58" t="s">
        <v>248</v>
      </c>
      <c r="T58" t="s">
        <v>355</v>
      </c>
      <c r="U58" t="s">
        <v>127</v>
      </c>
      <c r="V58" t="s">
        <v>128</v>
      </c>
      <c r="W58" t="s">
        <v>654</v>
      </c>
      <c r="X58" t="s">
        <v>349</v>
      </c>
      <c r="Y58" t="s">
        <v>128</v>
      </c>
      <c r="Z58" t="s">
        <v>148</v>
      </c>
      <c r="AA58" t="s">
        <v>655</v>
      </c>
    </row>
    <row r="59" spans="1:27">
      <c r="A59" t="s">
        <v>769</v>
      </c>
      <c r="B59" s="1">
        <v>41464</v>
      </c>
      <c r="C59" t="s">
        <v>111</v>
      </c>
      <c r="D59" t="s">
        <v>112</v>
      </c>
      <c r="E59" t="s">
        <v>113</v>
      </c>
      <c r="F59" t="s">
        <v>114</v>
      </c>
      <c r="G59" t="s">
        <v>115</v>
      </c>
      <c r="H59" t="s">
        <v>116</v>
      </c>
      <c r="I59" t="s">
        <v>770</v>
      </c>
      <c r="J59" t="s">
        <v>118</v>
      </c>
      <c r="K59" t="s">
        <v>119</v>
      </c>
      <c r="L59" t="s">
        <v>120</v>
      </c>
      <c r="M59" t="s">
        <v>121</v>
      </c>
      <c r="N59" t="s">
        <v>122</v>
      </c>
      <c r="P59" t="s">
        <v>65</v>
      </c>
      <c r="Q59" t="s">
        <v>353</v>
      </c>
      <c r="R59" t="s">
        <v>135</v>
      </c>
      <c r="S59" t="s">
        <v>248</v>
      </c>
      <c r="T59" t="s">
        <v>355</v>
      </c>
      <c r="U59" t="s">
        <v>127</v>
      </c>
      <c r="V59" t="s">
        <v>128</v>
      </c>
      <c r="W59" t="s">
        <v>654</v>
      </c>
      <c r="X59" t="s">
        <v>349</v>
      </c>
      <c r="Y59" t="s">
        <v>128</v>
      </c>
      <c r="Z59" t="s">
        <v>148</v>
      </c>
      <c r="AA59" t="s">
        <v>655</v>
      </c>
    </row>
    <row r="60" spans="1:27">
      <c r="A60" t="s">
        <v>771</v>
      </c>
      <c r="B60" s="1">
        <v>41464</v>
      </c>
      <c r="C60" t="s">
        <v>111</v>
      </c>
      <c r="D60" t="s">
        <v>112</v>
      </c>
      <c r="E60" t="s">
        <v>113</v>
      </c>
      <c r="F60" t="s">
        <v>114</v>
      </c>
      <c r="G60" t="s">
        <v>115</v>
      </c>
      <c r="H60" t="s">
        <v>116</v>
      </c>
      <c r="I60" t="s">
        <v>772</v>
      </c>
      <c r="J60" t="s">
        <v>118</v>
      </c>
      <c r="K60" t="s">
        <v>119</v>
      </c>
      <c r="L60" t="s">
        <v>120</v>
      </c>
      <c r="M60" t="s">
        <v>121</v>
      </c>
      <c r="N60" t="s">
        <v>122</v>
      </c>
      <c r="P60" t="s">
        <v>65</v>
      </c>
      <c r="Q60" t="s">
        <v>353</v>
      </c>
      <c r="R60" t="s">
        <v>135</v>
      </c>
      <c r="S60" t="s">
        <v>248</v>
      </c>
      <c r="T60" t="s">
        <v>355</v>
      </c>
      <c r="U60" t="s">
        <v>127</v>
      </c>
      <c r="V60" t="s">
        <v>128</v>
      </c>
      <c r="W60" t="s">
        <v>654</v>
      </c>
      <c r="X60" t="s">
        <v>349</v>
      </c>
      <c r="Y60" t="s">
        <v>128</v>
      </c>
      <c r="Z60" t="s">
        <v>148</v>
      </c>
      <c r="AA60" t="s">
        <v>655</v>
      </c>
    </row>
    <row r="61" spans="1:27">
      <c r="A61" t="s">
        <v>773</v>
      </c>
      <c r="B61" s="1">
        <v>41464</v>
      </c>
      <c r="C61" t="s">
        <v>111</v>
      </c>
      <c r="D61" t="s">
        <v>112</v>
      </c>
      <c r="E61" t="s">
        <v>113</v>
      </c>
      <c r="F61" t="s">
        <v>114</v>
      </c>
      <c r="G61" t="s">
        <v>115</v>
      </c>
      <c r="H61" t="s">
        <v>116</v>
      </c>
      <c r="I61" t="s">
        <v>774</v>
      </c>
      <c r="J61" t="s">
        <v>118</v>
      </c>
      <c r="K61" t="s">
        <v>119</v>
      </c>
      <c r="L61" t="s">
        <v>120</v>
      </c>
      <c r="M61" t="s">
        <v>121</v>
      </c>
      <c r="N61" t="s">
        <v>122</v>
      </c>
      <c r="P61" t="s">
        <v>65</v>
      </c>
      <c r="Q61" t="s">
        <v>353</v>
      </c>
      <c r="R61" t="s">
        <v>135</v>
      </c>
      <c r="S61" t="s">
        <v>248</v>
      </c>
      <c r="T61" t="s">
        <v>355</v>
      </c>
      <c r="U61" t="s">
        <v>127</v>
      </c>
      <c r="V61" t="s">
        <v>128</v>
      </c>
      <c r="W61" t="s">
        <v>648</v>
      </c>
      <c r="X61" t="s">
        <v>349</v>
      </c>
      <c r="Y61" t="s">
        <v>128</v>
      </c>
      <c r="Z61" t="s">
        <v>148</v>
      </c>
      <c r="AA61" t="s">
        <v>649</v>
      </c>
    </row>
    <row r="62" spans="1:27">
      <c r="A62" t="s">
        <v>775</v>
      </c>
      <c r="B62" s="1">
        <v>41464</v>
      </c>
      <c r="C62" t="s">
        <v>111</v>
      </c>
      <c r="D62" t="s">
        <v>112</v>
      </c>
      <c r="E62" t="s">
        <v>113</v>
      </c>
      <c r="F62" t="s">
        <v>114</v>
      </c>
      <c r="G62" t="s">
        <v>115</v>
      </c>
      <c r="H62" t="s">
        <v>116</v>
      </c>
      <c r="I62" t="s">
        <v>776</v>
      </c>
      <c r="J62" t="s">
        <v>118</v>
      </c>
      <c r="K62" t="s">
        <v>119</v>
      </c>
      <c r="L62" t="s">
        <v>120</v>
      </c>
      <c r="M62" t="s">
        <v>121</v>
      </c>
      <c r="N62" t="s">
        <v>122</v>
      </c>
      <c r="P62" t="s">
        <v>65</v>
      </c>
      <c r="Q62" t="s">
        <v>353</v>
      </c>
      <c r="R62" t="s">
        <v>135</v>
      </c>
      <c r="S62" t="s">
        <v>248</v>
      </c>
      <c r="T62" t="s">
        <v>355</v>
      </c>
      <c r="U62" t="s">
        <v>127</v>
      </c>
      <c r="V62" t="s">
        <v>128</v>
      </c>
      <c r="W62" t="s">
        <v>654</v>
      </c>
      <c r="X62" t="s">
        <v>349</v>
      </c>
      <c r="Y62" t="s">
        <v>128</v>
      </c>
      <c r="Z62" t="s">
        <v>148</v>
      </c>
      <c r="AA62" t="s">
        <v>655</v>
      </c>
    </row>
    <row r="63" spans="1:27">
      <c r="A63" t="s">
        <v>777</v>
      </c>
      <c r="B63" s="1">
        <v>41464</v>
      </c>
      <c r="C63" t="s">
        <v>111</v>
      </c>
      <c r="D63" t="s">
        <v>112</v>
      </c>
      <c r="E63" t="s">
        <v>113</v>
      </c>
      <c r="F63" t="s">
        <v>114</v>
      </c>
      <c r="G63" t="s">
        <v>115</v>
      </c>
      <c r="H63" t="s">
        <v>116</v>
      </c>
      <c r="I63" t="s">
        <v>778</v>
      </c>
      <c r="J63" t="s">
        <v>118</v>
      </c>
      <c r="K63" t="s">
        <v>119</v>
      </c>
      <c r="L63" t="s">
        <v>120</v>
      </c>
      <c r="M63" t="s">
        <v>121</v>
      </c>
      <c r="N63" t="s">
        <v>122</v>
      </c>
      <c r="P63" t="s">
        <v>65</v>
      </c>
      <c r="Q63" t="s">
        <v>353</v>
      </c>
      <c r="R63" t="s">
        <v>135</v>
      </c>
      <c r="S63" t="s">
        <v>248</v>
      </c>
      <c r="T63" t="s">
        <v>355</v>
      </c>
      <c r="U63" t="s">
        <v>127</v>
      </c>
      <c r="V63" t="s">
        <v>128</v>
      </c>
      <c r="W63" t="s">
        <v>654</v>
      </c>
      <c r="X63" t="s">
        <v>349</v>
      </c>
      <c r="Y63" t="s">
        <v>128</v>
      </c>
      <c r="Z63" t="s">
        <v>148</v>
      </c>
      <c r="AA63" t="s">
        <v>655</v>
      </c>
    </row>
    <row r="64" spans="1:27">
      <c r="A64" t="s">
        <v>779</v>
      </c>
      <c r="B64" s="1">
        <v>41464</v>
      </c>
      <c r="C64" t="s">
        <v>111</v>
      </c>
      <c r="D64" t="s">
        <v>112</v>
      </c>
      <c r="E64" t="s">
        <v>113</v>
      </c>
      <c r="F64" t="s">
        <v>114</v>
      </c>
      <c r="G64" t="s">
        <v>115</v>
      </c>
      <c r="H64" t="s">
        <v>116</v>
      </c>
      <c r="I64" t="s">
        <v>780</v>
      </c>
      <c r="J64" t="s">
        <v>118</v>
      </c>
      <c r="K64" t="s">
        <v>119</v>
      </c>
      <c r="L64" t="s">
        <v>120</v>
      </c>
      <c r="M64" t="s">
        <v>121</v>
      </c>
      <c r="N64" t="s">
        <v>122</v>
      </c>
      <c r="P64" t="s">
        <v>65</v>
      </c>
      <c r="Q64" t="s">
        <v>353</v>
      </c>
      <c r="R64" t="s">
        <v>135</v>
      </c>
      <c r="S64" t="s">
        <v>248</v>
      </c>
      <c r="T64" t="s">
        <v>355</v>
      </c>
      <c r="U64" t="s">
        <v>127</v>
      </c>
      <c r="V64" t="s">
        <v>128</v>
      </c>
      <c r="W64" t="s">
        <v>648</v>
      </c>
      <c r="X64" t="s">
        <v>349</v>
      </c>
      <c r="Y64" t="s">
        <v>128</v>
      </c>
      <c r="Z64" t="s">
        <v>148</v>
      </c>
      <c r="AA64" t="s">
        <v>649</v>
      </c>
    </row>
    <row r="65" spans="1:27">
      <c r="A65" t="s">
        <v>781</v>
      </c>
      <c r="B65" s="1">
        <v>41464</v>
      </c>
      <c r="C65" t="s">
        <v>111</v>
      </c>
      <c r="D65" t="s">
        <v>112</v>
      </c>
      <c r="E65" t="s">
        <v>113</v>
      </c>
      <c r="F65" t="s">
        <v>114</v>
      </c>
      <c r="G65" t="s">
        <v>115</v>
      </c>
      <c r="H65" t="s">
        <v>116</v>
      </c>
      <c r="I65" t="s">
        <v>782</v>
      </c>
      <c r="J65" t="s">
        <v>118</v>
      </c>
      <c r="K65" t="s">
        <v>119</v>
      </c>
      <c r="L65" t="s">
        <v>120</v>
      </c>
      <c r="M65" t="s">
        <v>121</v>
      </c>
      <c r="N65" t="s">
        <v>122</v>
      </c>
      <c r="P65" t="s">
        <v>65</v>
      </c>
      <c r="Q65" t="s">
        <v>353</v>
      </c>
      <c r="R65" t="s">
        <v>135</v>
      </c>
      <c r="S65" t="s">
        <v>248</v>
      </c>
      <c r="T65" t="s">
        <v>355</v>
      </c>
      <c r="U65" t="s">
        <v>127</v>
      </c>
      <c r="V65" t="s">
        <v>128</v>
      </c>
      <c r="W65" t="s">
        <v>648</v>
      </c>
      <c r="X65" t="s">
        <v>349</v>
      </c>
      <c r="Y65" t="s">
        <v>128</v>
      </c>
      <c r="Z65" t="s">
        <v>148</v>
      </c>
      <c r="AA65" t="s">
        <v>649</v>
      </c>
    </row>
    <row r="66" spans="1:27">
      <c r="A66" t="s">
        <v>783</v>
      </c>
      <c r="B66" s="1">
        <v>41464</v>
      </c>
      <c r="C66" t="s">
        <v>111</v>
      </c>
      <c r="D66" t="s">
        <v>112</v>
      </c>
      <c r="E66" t="s">
        <v>113</v>
      </c>
      <c r="F66" t="s">
        <v>114</v>
      </c>
      <c r="G66" t="s">
        <v>115</v>
      </c>
      <c r="H66" t="s">
        <v>116</v>
      </c>
      <c r="I66" t="s">
        <v>784</v>
      </c>
      <c r="J66" t="s">
        <v>118</v>
      </c>
      <c r="K66" t="s">
        <v>119</v>
      </c>
      <c r="L66" t="s">
        <v>120</v>
      </c>
      <c r="M66" t="s">
        <v>121</v>
      </c>
      <c r="N66" t="s">
        <v>122</v>
      </c>
      <c r="P66" t="s">
        <v>65</v>
      </c>
      <c r="Q66" t="s">
        <v>353</v>
      </c>
      <c r="R66" t="s">
        <v>135</v>
      </c>
      <c r="S66" t="s">
        <v>248</v>
      </c>
      <c r="T66" t="s">
        <v>355</v>
      </c>
      <c r="U66" t="s">
        <v>127</v>
      </c>
      <c r="V66" t="s">
        <v>128</v>
      </c>
      <c r="W66" t="s">
        <v>648</v>
      </c>
      <c r="X66" t="s">
        <v>349</v>
      </c>
      <c r="Y66" t="s">
        <v>128</v>
      </c>
      <c r="Z66" t="s">
        <v>148</v>
      </c>
      <c r="AA66" t="s">
        <v>649</v>
      </c>
    </row>
    <row r="67" spans="1:27">
      <c r="A67" t="s">
        <v>785</v>
      </c>
      <c r="B67" s="1">
        <v>41464</v>
      </c>
      <c r="C67" t="s">
        <v>111</v>
      </c>
      <c r="D67" t="s">
        <v>112</v>
      </c>
      <c r="E67" t="s">
        <v>113</v>
      </c>
      <c r="F67" t="s">
        <v>114</v>
      </c>
      <c r="G67" t="s">
        <v>115</v>
      </c>
      <c r="H67" t="s">
        <v>116</v>
      </c>
      <c r="I67" t="s">
        <v>786</v>
      </c>
      <c r="J67" t="s">
        <v>118</v>
      </c>
      <c r="K67" t="s">
        <v>119</v>
      </c>
      <c r="L67" t="s">
        <v>120</v>
      </c>
      <c r="M67" t="s">
        <v>121</v>
      </c>
      <c r="N67" t="s">
        <v>122</v>
      </c>
      <c r="P67" t="s">
        <v>65</v>
      </c>
      <c r="Q67" t="s">
        <v>353</v>
      </c>
      <c r="R67" t="s">
        <v>135</v>
      </c>
      <c r="S67" t="s">
        <v>248</v>
      </c>
      <c r="T67" t="s">
        <v>355</v>
      </c>
      <c r="U67" t="s">
        <v>127</v>
      </c>
      <c r="V67" t="s">
        <v>128</v>
      </c>
      <c r="W67" t="s">
        <v>648</v>
      </c>
      <c r="X67" t="s">
        <v>349</v>
      </c>
      <c r="Y67" t="s">
        <v>128</v>
      </c>
      <c r="Z67" t="s">
        <v>148</v>
      </c>
      <c r="AA67" t="s">
        <v>649</v>
      </c>
    </row>
    <row r="68" spans="1:27">
      <c r="A68" t="s">
        <v>787</v>
      </c>
      <c r="B68" s="1">
        <v>41464</v>
      </c>
      <c r="C68" t="s">
        <v>111</v>
      </c>
      <c r="D68" t="s">
        <v>112</v>
      </c>
      <c r="E68" t="s">
        <v>113</v>
      </c>
      <c r="F68" t="s">
        <v>114</v>
      </c>
      <c r="G68" t="s">
        <v>115</v>
      </c>
      <c r="H68" t="s">
        <v>116</v>
      </c>
      <c r="I68" t="s">
        <v>788</v>
      </c>
      <c r="J68" t="s">
        <v>118</v>
      </c>
      <c r="K68" t="s">
        <v>119</v>
      </c>
      <c r="L68" t="s">
        <v>120</v>
      </c>
      <c r="M68" t="s">
        <v>121</v>
      </c>
      <c r="N68" t="s">
        <v>122</v>
      </c>
      <c r="P68" t="s">
        <v>65</v>
      </c>
      <c r="Q68" t="s">
        <v>353</v>
      </c>
      <c r="R68" t="s">
        <v>135</v>
      </c>
      <c r="S68" t="s">
        <v>248</v>
      </c>
      <c r="T68" t="s">
        <v>355</v>
      </c>
      <c r="U68" t="s">
        <v>127</v>
      </c>
      <c r="V68" t="s">
        <v>128</v>
      </c>
      <c r="W68" t="s">
        <v>654</v>
      </c>
      <c r="X68" t="s">
        <v>349</v>
      </c>
      <c r="Y68" t="s">
        <v>128</v>
      </c>
      <c r="Z68" t="s">
        <v>148</v>
      </c>
      <c r="AA68" t="s">
        <v>655</v>
      </c>
    </row>
    <row r="69" spans="1:27">
      <c r="A69" t="s">
        <v>789</v>
      </c>
      <c r="B69" s="1">
        <v>41464</v>
      </c>
      <c r="C69" t="s">
        <v>111</v>
      </c>
      <c r="D69" t="s">
        <v>112</v>
      </c>
      <c r="E69" t="s">
        <v>113</v>
      </c>
      <c r="F69" t="s">
        <v>114</v>
      </c>
      <c r="G69" t="s">
        <v>115</v>
      </c>
      <c r="H69" t="s">
        <v>116</v>
      </c>
      <c r="I69" t="s">
        <v>790</v>
      </c>
      <c r="J69" t="s">
        <v>118</v>
      </c>
      <c r="K69" t="s">
        <v>119</v>
      </c>
      <c r="L69" t="s">
        <v>120</v>
      </c>
      <c r="M69" t="s">
        <v>121</v>
      </c>
      <c r="N69" t="s">
        <v>122</v>
      </c>
      <c r="P69" t="s">
        <v>65</v>
      </c>
      <c r="Q69" t="s">
        <v>353</v>
      </c>
      <c r="R69" t="s">
        <v>135</v>
      </c>
      <c r="S69" t="s">
        <v>248</v>
      </c>
      <c r="T69" t="s">
        <v>355</v>
      </c>
      <c r="U69" t="s">
        <v>127</v>
      </c>
      <c r="V69" t="s">
        <v>128</v>
      </c>
      <c r="W69" t="s">
        <v>648</v>
      </c>
      <c r="X69" t="s">
        <v>349</v>
      </c>
      <c r="Y69" t="s">
        <v>128</v>
      </c>
      <c r="Z69" t="s">
        <v>148</v>
      </c>
      <c r="AA69" t="s">
        <v>649</v>
      </c>
    </row>
    <row r="70" spans="1:27">
      <c r="A70" t="s">
        <v>584</v>
      </c>
      <c r="B70" s="1">
        <v>41464</v>
      </c>
      <c r="C70" t="s">
        <v>111</v>
      </c>
      <c r="D70" t="s">
        <v>112</v>
      </c>
      <c r="E70" t="s">
        <v>113</v>
      </c>
      <c r="F70" t="s">
        <v>114</v>
      </c>
      <c r="G70" t="s">
        <v>115</v>
      </c>
      <c r="H70" t="s">
        <v>116</v>
      </c>
      <c r="I70" t="s">
        <v>585</v>
      </c>
      <c r="J70" t="s">
        <v>118</v>
      </c>
      <c r="K70" t="s">
        <v>119</v>
      </c>
      <c r="L70" t="s">
        <v>120</v>
      </c>
      <c r="M70" t="s">
        <v>121</v>
      </c>
      <c r="N70" t="s">
        <v>122</v>
      </c>
      <c r="P70" t="s">
        <v>53</v>
      </c>
      <c r="Q70" t="s">
        <v>586</v>
      </c>
      <c r="R70" t="s">
        <v>135</v>
      </c>
      <c r="S70" t="s">
        <v>168</v>
      </c>
      <c r="T70" t="s">
        <v>587</v>
      </c>
      <c r="U70" t="s">
        <v>155</v>
      </c>
      <c r="V70" t="s">
        <v>128</v>
      </c>
      <c r="W70" t="s">
        <v>791</v>
      </c>
      <c r="X70" t="s">
        <v>588</v>
      </c>
      <c r="Y70" t="s">
        <v>128</v>
      </c>
      <c r="Z70" t="s">
        <v>589</v>
      </c>
      <c r="AA70" t="s">
        <v>138</v>
      </c>
    </row>
    <row r="71" spans="1:27">
      <c r="A71" t="s">
        <v>792</v>
      </c>
      <c r="B71" s="1">
        <v>41464</v>
      </c>
      <c r="C71" t="s">
        <v>111</v>
      </c>
      <c r="D71" t="s">
        <v>112</v>
      </c>
      <c r="E71" t="s">
        <v>113</v>
      </c>
      <c r="F71" t="s">
        <v>114</v>
      </c>
      <c r="G71" t="s">
        <v>115</v>
      </c>
      <c r="H71" t="s">
        <v>116</v>
      </c>
      <c r="I71" t="s">
        <v>793</v>
      </c>
      <c r="J71" t="s">
        <v>118</v>
      </c>
      <c r="K71" t="s">
        <v>119</v>
      </c>
      <c r="L71" t="s">
        <v>120</v>
      </c>
      <c r="M71" t="s">
        <v>121</v>
      </c>
      <c r="N71" t="s">
        <v>122</v>
      </c>
      <c r="P71" t="s">
        <v>65</v>
      </c>
      <c r="Q71" t="s">
        <v>353</v>
      </c>
      <c r="R71" t="s">
        <v>135</v>
      </c>
      <c r="S71" t="s">
        <v>248</v>
      </c>
      <c r="T71" t="s">
        <v>355</v>
      </c>
      <c r="U71" t="s">
        <v>127</v>
      </c>
      <c r="V71" t="s">
        <v>128</v>
      </c>
      <c r="W71" t="s">
        <v>654</v>
      </c>
      <c r="X71" t="s">
        <v>349</v>
      </c>
      <c r="Y71" t="s">
        <v>128</v>
      </c>
      <c r="Z71" t="s">
        <v>148</v>
      </c>
      <c r="AA71" t="s">
        <v>655</v>
      </c>
    </row>
    <row r="72" spans="1:27">
      <c r="A72" t="s">
        <v>794</v>
      </c>
      <c r="B72" s="1">
        <v>41464</v>
      </c>
      <c r="C72" t="s">
        <v>111</v>
      </c>
      <c r="D72" t="s">
        <v>112</v>
      </c>
      <c r="E72" t="s">
        <v>113</v>
      </c>
      <c r="F72" t="s">
        <v>114</v>
      </c>
      <c r="G72" t="s">
        <v>115</v>
      </c>
      <c r="H72" t="s">
        <v>116</v>
      </c>
      <c r="I72" t="s">
        <v>795</v>
      </c>
      <c r="J72" t="s">
        <v>118</v>
      </c>
      <c r="K72" t="s">
        <v>119</v>
      </c>
      <c r="L72" t="s">
        <v>120</v>
      </c>
      <c r="M72" t="s">
        <v>121</v>
      </c>
      <c r="N72" t="s">
        <v>122</v>
      </c>
      <c r="P72" t="s">
        <v>65</v>
      </c>
      <c r="Q72" t="s">
        <v>353</v>
      </c>
      <c r="R72" t="s">
        <v>135</v>
      </c>
      <c r="S72" t="s">
        <v>248</v>
      </c>
      <c r="T72" t="s">
        <v>355</v>
      </c>
      <c r="U72" t="s">
        <v>127</v>
      </c>
      <c r="V72" t="s">
        <v>128</v>
      </c>
      <c r="W72" t="s">
        <v>654</v>
      </c>
      <c r="X72" t="s">
        <v>349</v>
      </c>
      <c r="Y72" t="s">
        <v>128</v>
      </c>
      <c r="Z72" t="s">
        <v>148</v>
      </c>
      <c r="AA72" t="s">
        <v>655</v>
      </c>
    </row>
    <row r="73" spans="1:27">
      <c r="A73" t="s">
        <v>796</v>
      </c>
      <c r="B73" s="1">
        <v>41464</v>
      </c>
      <c r="C73" t="s">
        <v>111</v>
      </c>
      <c r="D73" t="s">
        <v>112</v>
      </c>
      <c r="E73" t="s">
        <v>113</v>
      </c>
      <c r="F73" t="s">
        <v>114</v>
      </c>
      <c r="G73" t="s">
        <v>115</v>
      </c>
      <c r="H73" t="s">
        <v>116</v>
      </c>
      <c r="I73" t="s">
        <v>797</v>
      </c>
      <c r="J73" t="s">
        <v>118</v>
      </c>
      <c r="K73" t="s">
        <v>119</v>
      </c>
      <c r="L73" t="s">
        <v>120</v>
      </c>
      <c r="M73" t="s">
        <v>121</v>
      </c>
      <c r="N73" t="s">
        <v>122</v>
      </c>
      <c r="P73" t="s">
        <v>65</v>
      </c>
      <c r="Q73" t="s">
        <v>353</v>
      </c>
      <c r="R73" t="s">
        <v>135</v>
      </c>
      <c r="S73" t="s">
        <v>248</v>
      </c>
      <c r="T73" t="s">
        <v>355</v>
      </c>
      <c r="U73" t="s">
        <v>127</v>
      </c>
      <c r="V73" t="s">
        <v>128</v>
      </c>
      <c r="W73" t="s">
        <v>648</v>
      </c>
      <c r="X73" t="s">
        <v>349</v>
      </c>
      <c r="Y73" t="s">
        <v>128</v>
      </c>
      <c r="Z73" t="s">
        <v>148</v>
      </c>
      <c r="AA73" t="s">
        <v>649</v>
      </c>
    </row>
    <row r="74" spans="1:27">
      <c r="A74" t="s">
        <v>798</v>
      </c>
      <c r="B74" s="1">
        <v>41464</v>
      </c>
      <c r="C74" t="s">
        <v>111</v>
      </c>
      <c r="D74" t="s">
        <v>112</v>
      </c>
      <c r="E74" t="s">
        <v>113</v>
      </c>
      <c r="F74" t="s">
        <v>114</v>
      </c>
      <c r="G74" t="s">
        <v>115</v>
      </c>
      <c r="H74" t="s">
        <v>116</v>
      </c>
      <c r="I74" t="s">
        <v>799</v>
      </c>
      <c r="J74" t="s">
        <v>118</v>
      </c>
      <c r="K74" t="s">
        <v>119</v>
      </c>
      <c r="L74" t="s">
        <v>120</v>
      </c>
      <c r="M74" t="s">
        <v>121</v>
      </c>
      <c r="N74" t="s">
        <v>122</v>
      </c>
      <c r="P74" t="s">
        <v>65</v>
      </c>
      <c r="Q74" t="s">
        <v>353</v>
      </c>
      <c r="R74" t="s">
        <v>135</v>
      </c>
      <c r="S74" t="s">
        <v>248</v>
      </c>
      <c r="T74" t="s">
        <v>355</v>
      </c>
      <c r="U74" t="s">
        <v>127</v>
      </c>
      <c r="V74" t="s">
        <v>128</v>
      </c>
      <c r="W74" t="s">
        <v>648</v>
      </c>
      <c r="X74" t="s">
        <v>349</v>
      </c>
      <c r="Y74" t="s">
        <v>128</v>
      </c>
      <c r="Z74" t="s">
        <v>148</v>
      </c>
      <c r="AA74" t="s">
        <v>649</v>
      </c>
    </row>
    <row r="75" spans="1:27">
      <c r="A75" t="s">
        <v>800</v>
      </c>
      <c r="B75" s="1">
        <v>41464</v>
      </c>
      <c r="C75" t="s">
        <v>111</v>
      </c>
      <c r="D75" t="s">
        <v>112</v>
      </c>
      <c r="E75" t="s">
        <v>113</v>
      </c>
      <c r="F75" t="s">
        <v>114</v>
      </c>
      <c r="G75" t="s">
        <v>115</v>
      </c>
      <c r="H75" t="s">
        <v>116</v>
      </c>
      <c r="I75" t="s">
        <v>801</v>
      </c>
      <c r="J75" t="s">
        <v>118</v>
      </c>
      <c r="K75" t="s">
        <v>119</v>
      </c>
      <c r="L75" t="s">
        <v>120</v>
      </c>
      <c r="M75" t="s">
        <v>121</v>
      </c>
      <c r="N75" t="s">
        <v>122</v>
      </c>
      <c r="P75" t="s">
        <v>65</v>
      </c>
      <c r="Q75" t="s">
        <v>353</v>
      </c>
      <c r="R75" t="s">
        <v>135</v>
      </c>
      <c r="S75" t="s">
        <v>248</v>
      </c>
      <c r="T75" t="s">
        <v>355</v>
      </c>
      <c r="U75" t="s">
        <v>127</v>
      </c>
      <c r="V75" t="s">
        <v>128</v>
      </c>
      <c r="W75" t="s">
        <v>648</v>
      </c>
      <c r="X75" t="s">
        <v>349</v>
      </c>
      <c r="Y75" t="s">
        <v>128</v>
      </c>
      <c r="Z75" t="s">
        <v>148</v>
      </c>
      <c r="AA75" t="s">
        <v>649</v>
      </c>
    </row>
    <row r="76" spans="1:27">
      <c r="A76" t="s">
        <v>802</v>
      </c>
      <c r="B76" s="1">
        <v>41464</v>
      </c>
      <c r="C76" t="s">
        <v>111</v>
      </c>
      <c r="D76" t="s">
        <v>112</v>
      </c>
      <c r="E76" t="s">
        <v>113</v>
      </c>
      <c r="F76" t="s">
        <v>114</v>
      </c>
      <c r="G76" t="s">
        <v>115</v>
      </c>
      <c r="H76" t="s">
        <v>116</v>
      </c>
      <c r="I76" t="s">
        <v>803</v>
      </c>
      <c r="J76" t="s">
        <v>118</v>
      </c>
      <c r="K76" t="s">
        <v>119</v>
      </c>
      <c r="L76" t="s">
        <v>120</v>
      </c>
      <c r="M76" t="s">
        <v>121</v>
      </c>
      <c r="N76" t="s">
        <v>122</v>
      </c>
      <c r="P76" t="s">
        <v>65</v>
      </c>
      <c r="Q76" t="s">
        <v>353</v>
      </c>
      <c r="R76" t="s">
        <v>135</v>
      </c>
      <c r="S76" t="s">
        <v>248</v>
      </c>
      <c r="T76" t="s">
        <v>355</v>
      </c>
      <c r="U76" t="s">
        <v>127</v>
      </c>
      <c r="V76" t="s">
        <v>128</v>
      </c>
      <c r="W76" t="s">
        <v>648</v>
      </c>
      <c r="X76" t="s">
        <v>349</v>
      </c>
      <c r="Y76" t="s">
        <v>128</v>
      </c>
      <c r="Z76" t="s">
        <v>148</v>
      </c>
      <c r="AA76" t="s">
        <v>649</v>
      </c>
    </row>
    <row r="77" spans="1:27">
      <c r="A77" t="s">
        <v>804</v>
      </c>
      <c r="B77" s="1">
        <v>41464</v>
      </c>
      <c r="C77" t="s">
        <v>111</v>
      </c>
      <c r="D77" t="s">
        <v>112</v>
      </c>
      <c r="E77" t="s">
        <v>113</v>
      </c>
      <c r="F77" t="s">
        <v>114</v>
      </c>
      <c r="G77" t="s">
        <v>115</v>
      </c>
      <c r="H77" t="s">
        <v>116</v>
      </c>
      <c r="I77" t="s">
        <v>805</v>
      </c>
      <c r="J77" t="s">
        <v>118</v>
      </c>
      <c r="K77" t="s">
        <v>119</v>
      </c>
      <c r="L77" t="s">
        <v>120</v>
      </c>
      <c r="M77" t="s">
        <v>121</v>
      </c>
      <c r="N77" t="s">
        <v>122</v>
      </c>
      <c r="P77" t="s">
        <v>65</v>
      </c>
      <c r="Q77" t="s">
        <v>353</v>
      </c>
      <c r="R77" t="s">
        <v>135</v>
      </c>
      <c r="S77" t="s">
        <v>248</v>
      </c>
      <c r="T77" t="s">
        <v>355</v>
      </c>
      <c r="U77" t="s">
        <v>127</v>
      </c>
      <c r="V77" t="s">
        <v>128</v>
      </c>
      <c r="W77" t="s">
        <v>648</v>
      </c>
      <c r="X77" t="s">
        <v>349</v>
      </c>
      <c r="Y77" t="s">
        <v>128</v>
      </c>
      <c r="Z77" t="s">
        <v>148</v>
      </c>
      <c r="AA77" t="s">
        <v>649</v>
      </c>
    </row>
    <row r="78" spans="1:27">
      <c r="A78" t="s">
        <v>806</v>
      </c>
      <c r="B78" s="1">
        <v>41464</v>
      </c>
      <c r="C78" t="s">
        <v>111</v>
      </c>
      <c r="D78" t="s">
        <v>112</v>
      </c>
      <c r="E78" t="s">
        <v>113</v>
      </c>
      <c r="F78" t="s">
        <v>114</v>
      </c>
      <c r="G78" t="s">
        <v>115</v>
      </c>
      <c r="H78" t="s">
        <v>116</v>
      </c>
      <c r="I78" t="s">
        <v>807</v>
      </c>
      <c r="J78" t="s">
        <v>118</v>
      </c>
      <c r="K78" t="s">
        <v>119</v>
      </c>
      <c r="L78" t="s">
        <v>120</v>
      </c>
      <c r="M78" t="s">
        <v>121</v>
      </c>
      <c r="N78" t="s">
        <v>122</v>
      </c>
      <c r="P78" t="s">
        <v>65</v>
      </c>
      <c r="Q78" t="s">
        <v>353</v>
      </c>
      <c r="R78" t="s">
        <v>135</v>
      </c>
      <c r="S78" t="s">
        <v>248</v>
      </c>
      <c r="T78" t="s">
        <v>355</v>
      </c>
      <c r="U78" t="s">
        <v>127</v>
      </c>
      <c r="V78" t="s">
        <v>128</v>
      </c>
      <c r="W78" t="s">
        <v>648</v>
      </c>
      <c r="X78" t="s">
        <v>349</v>
      </c>
      <c r="Y78" t="s">
        <v>128</v>
      </c>
      <c r="Z78" t="s">
        <v>148</v>
      </c>
      <c r="AA78" t="s">
        <v>649</v>
      </c>
    </row>
    <row r="79" spans="1:27">
      <c r="A79" t="s">
        <v>808</v>
      </c>
      <c r="B79" s="1">
        <v>41464</v>
      </c>
      <c r="C79" t="s">
        <v>111</v>
      </c>
      <c r="D79" t="s">
        <v>112</v>
      </c>
      <c r="E79" t="s">
        <v>113</v>
      </c>
      <c r="F79" t="s">
        <v>114</v>
      </c>
      <c r="G79" t="s">
        <v>115</v>
      </c>
      <c r="H79" t="s">
        <v>116</v>
      </c>
      <c r="I79" t="s">
        <v>809</v>
      </c>
      <c r="J79" t="s">
        <v>118</v>
      </c>
      <c r="K79" t="s">
        <v>119</v>
      </c>
      <c r="L79" t="s">
        <v>120</v>
      </c>
      <c r="M79" t="s">
        <v>121</v>
      </c>
      <c r="N79" t="s">
        <v>122</v>
      </c>
      <c r="P79" t="s">
        <v>65</v>
      </c>
      <c r="Q79" t="s">
        <v>353</v>
      </c>
      <c r="R79" t="s">
        <v>135</v>
      </c>
      <c r="S79" t="s">
        <v>248</v>
      </c>
      <c r="T79" t="s">
        <v>355</v>
      </c>
      <c r="U79" t="s">
        <v>127</v>
      </c>
      <c r="V79" t="s">
        <v>128</v>
      </c>
      <c r="W79" t="s">
        <v>648</v>
      </c>
      <c r="X79" t="s">
        <v>349</v>
      </c>
      <c r="Y79" t="s">
        <v>128</v>
      </c>
      <c r="Z79" t="s">
        <v>148</v>
      </c>
      <c r="AA79" t="s">
        <v>649</v>
      </c>
    </row>
    <row r="80" spans="1:27">
      <c r="A80" t="s">
        <v>810</v>
      </c>
      <c r="B80" s="1">
        <v>41464</v>
      </c>
      <c r="C80" t="s">
        <v>111</v>
      </c>
      <c r="D80" t="s">
        <v>112</v>
      </c>
      <c r="E80" t="s">
        <v>113</v>
      </c>
      <c r="F80" t="s">
        <v>114</v>
      </c>
      <c r="G80" t="s">
        <v>115</v>
      </c>
      <c r="H80" t="s">
        <v>116</v>
      </c>
      <c r="I80" t="s">
        <v>811</v>
      </c>
      <c r="J80" t="s">
        <v>118</v>
      </c>
      <c r="K80" t="s">
        <v>119</v>
      </c>
      <c r="L80" t="s">
        <v>120</v>
      </c>
      <c r="M80" t="s">
        <v>121</v>
      </c>
      <c r="N80" t="s">
        <v>122</v>
      </c>
      <c r="P80" t="s">
        <v>65</v>
      </c>
      <c r="Q80" t="s">
        <v>353</v>
      </c>
      <c r="R80" t="s">
        <v>135</v>
      </c>
      <c r="S80" t="s">
        <v>248</v>
      </c>
      <c r="T80" t="s">
        <v>355</v>
      </c>
      <c r="U80" t="s">
        <v>127</v>
      </c>
      <c r="V80" t="s">
        <v>128</v>
      </c>
      <c r="W80" t="s">
        <v>654</v>
      </c>
      <c r="X80" t="s">
        <v>349</v>
      </c>
      <c r="Y80" t="s">
        <v>128</v>
      </c>
      <c r="Z80" t="s">
        <v>148</v>
      </c>
      <c r="AA80" t="s">
        <v>655</v>
      </c>
    </row>
    <row r="81" spans="1:27">
      <c r="A81" t="s">
        <v>812</v>
      </c>
      <c r="B81" s="1">
        <v>41464</v>
      </c>
      <c r="C81" t="s">
        <v>111</v>
      </c>
      <c r="D81" t="s">
        <v>112</v>
      </c>
      <c r="E81" t="s">
        <v>113</v>
      </c>
      <c r="F81" t="s">
        <v>114</v>
      </c>
      <c r="G81" t="s">
        <v>115</v>
      </c>
      <c r="H81" t="s">
        <v>116</v>
      </c>
      <c r="I81" t="s">
        <v>813</v>
      </c>
      <c r="J81" t="s">
        <v>118</v>
      </c>
      <c r="K81" t="s">
        <v>119</v>
      </c>
      <c r="L81" t="s">
        <v>120</v>
      </c>
      <c r="M81" t="s">
        <v>121</v>
      </c>
      <c r="N81" t="s">
        <v>122</v>
      </c>
      <c r="P81" t="s">
        <v>65</v>
      </c>
      <c r="Q81" t="s">
        <v>353</v>
      </c>
      <c r="R81" t="s">
        <v>135</v>
      </c>
      <c r="S81" t="s">
        <v>248</v>
      </c>
      <c r="T81" t="s">
        <v>355</v>
      </c>
      <c r="U81" t="s">
        <v>127</v>
      </c>
      <c r="V81" t="s">
        <v>128</v>
      </c>
      <c r="W81" t="s">
        <v>648</v>
      </c>
      <c r="X81" t="s">
        <v>349</v>
      </c>
      <c r="Y81" t="s">
        <v>128</v>
      </c>
      <c r="Z81" t="s">
        <v>148</v>
      </c>
      <c r="AA81" t="s">
        <v>649</v>
      </c>
    </row>
    <row r="82" spans="1:27">
      <c r="A82" t="s">
        <v>814</v>
      </c>
      <c r="B82" s="1">
        <v>41464</v>
      </c>
      <c r="C82" t="s">
        <v>111</v>
      </c>
      <c r="D82" t="s">
        <v>112</v>
      </c>
      <c r="E82" t="s">
        <v>113</v>
      </c>
      <c r="F82" t="s">
        <v>114</v>
      </c>
      <c r="G82" t="s">
        <v>115</v>
      </c>
      <c r="H82" t="s">
        <v>116</v>
      </c>
      <c r="I82" t="s">
        <v>815</v>
      </c>
      <c r="J82" t="s">
        <v>118</v>
      </c>
      <c r="K82" t="s">
        <v>119</v>
      </c>
      <c r="L82" t="s">
        <v>120</v>
      </c>
      <c r="M82" t="s">
        <v>121</v>
      </c>
      <c r="N82" t="s">
        <v>122</v>
      </c>
      <c r="P82" t="s">
        <v>65</v>
      </c>
      <c r="Q82" t="s">
        <v>353</v>
      </c>
      <c r="R82" t="s">
        <v>135</v>
      </c>
      <c r="S82" t="s">
        <v>248</v>
      </c>
      <c r="T82" t="s">
        <v>355</v>
      </c>
      <c r="U82" t="s">
        <v>127</v>
      </c>
      <c r="V82" t="s">
        <v>128</v>
      </c>
      <c r="W82" t="s">
        <v>648</v>
      </c>
      <c r="X82" t="s">
        <v>349</v>
      </c>
      <c r="Y82" t="s">
        <v>128</v>
      </c>
      <c r="Z82" t="s">
        <v>148</v>
      </c>
      <c r="AA82" t="s">
        <v>649</v>
      </c>
    </row>
    <row r="83" spans="1:27">
      <c r="A83" t="s">
        <v>816</v>
      </c>
      <c r="B83" s="1">
        <v>41464</v>
      </c>
      <c r="C83" t="s">
        <v>111</v>
      </c>
      <c r="D83" t="s">
        <v>112</v>
      </c>
      <c r="E83" t="s">
        <v>113</v>
      </c>
      <c r="F83" t="s">
        <v>114</v>
      </c>
      <c r="G83" t="s">
        <v>115</v>
      </c>
      <c r="H83" t="s">
        <v>116</v>
      </c>
      <c r="I83" t="s">
        <v>817</v>
      </c>
      <c r="J83" t="s">
        <v>118</v>
      </c>
      <c r="K83" t="s">
        <v>119</v>
      </c>
      <c r="L83" t="s">
        <v>120</v>
      </c>
      <c r="M83" t="s">
        <v>121</v>
      </c>
      <c r="N83" t="s">
        <v>122</v>
      </c>
      <c r="P83" t="s">
        <v>65</v>
      </c>
      <c r="Q83" t="s">
        <v>353</v>
      </c>
      <c r="R83" t="s">
        <v>135</v>
      </c>
      <c r="S83" t="s">
        <v>248</v>
      </c>
      <c r="T83" t="s">
        <v>355</v>
      </c>
      <c r="U83" t="s">
        <v>127</v>
      </c>
      <c r="V83" t="s">
        <v>128</v>
      </c>
      <c r="W83" t="s">
        <v>648</v>
      </c>
      <c r="X83" t="s">
        <v>349</v>
      </c>
      <c r="Y83" t="s">
        <v>128</v>
      </c>
      <c r="Z83" t="s">
        <v>148</v>
      </c>
      <c r="AA83" t="s">
        <v>649</v>
      </c>
    </row>
    <row r="84" spans="1:27">
      <c r="A84" t="s">
        <v>818</v>
      </c>
      <c r="B84" s="1">
        <v>41464</v>
      </c>
      <c r="C84" t="s">
        <v>111</v>
      </c>
      <c r="D84" t="s">
        <v>112</v>
      </c>
      <c r="E84" t="s">
        <v>113</v>
      </c>
      <c r="F84" t="s">
        <v>114</v>
      </c>
      <c r="G84" t="s">
        <v>115</v>
      </c>
      <c r="I84" t="s">
        <v>819</v>
      </c>
      <c r="J84" t="s">
        <v>118</v>
      </c>
      <c r="K84" t="s">
        <v>119</v>
      </c>
      <c r="L84" t="s">
        <v>120</v>
      </c>
      <c r="M84" t="s">
        <v>121</v>
      </c>
      <c r="N84" t="s">
        <v>419</v>
      </c>
      <c r="P84" t="s">
        <v>52</v>
      </c>
      <c r="Q84" t="s">
        <v>123</v>
      </c>
      <c r="S84" t="s">
        <v>168</v>
      </c>
      <c r="T84" t="s">
        <v>126</v>
      </c>
      <c r="W84" t="s">
        <v>223</v>
      </c>
      <c r="X84" t="s">
        <v>758</v>
      </c>
      <c r="Z84" t="s">
        <v>251</v>
      </c>
      <c r="AA84" t="s">
        <v>226</v>
      </c>
    </row>
    <row r="85" spans="1:27">
      <c r="A85" t="s">
        <v>820</v>
      </c>
      <c r="B85" s="1">
        <v>41464</v>
      </c>
      <c r="C85" t="s">
        <v>111</v>
      </c>
      <c r="D85" t="s">
        <v>112</v>
      </c>
      <c r="E85" t="s">
        <v>113</v>
      </c>
      <c r="F85" t="s">
        <v>114</v>
      </c>
      <c r="G85" t="s">
        <v>115</v>
      </c>
      <c r="I85" t="s">
        <v>821</v>
      </c>
      <c r="J85" t="s">
        <v>118</v>
      </c>
      <c r="K85" t="s">
        <v>119</v>
      </c>
      <c r="L85" t="s">
        <v>120</v>
      </c>
      <c r="M85" t="s">
        <v>121</v>
      </c>
      <c r="N85" t="s">
        <v>419</v>
      </c>
      <c r="P85" t="s">
        <v>65</v>
      </c>
      <c r="Q85" t="s">
        <v>353</v>
      </c>
      <c r="S85" t="s">
        <v>248</v>
      </c>
      <c r="T85" t="s">
        <v>355</v>
      </c>
      <c r="W85" t="s">
        <v>654</v>
      </c>
      <c r="X85" t="s">
        <v>349</v>
      </c>
      <c r="Z85" t="s">
        <v>148</v>
      </c>
      <c r="AA85" t="s">
        <v>655</v>
      </c>
    </row>
    <row r="86" spans="1:27">
      <c r="A86" t="s">
        <v>822</v>
      </c>
      <c r="B86" s="1">
        <v>41464</v>
      </c>
      <c r="C86" t="s">
        <v>111</v>
      </c>
      <c r="D86" t="s">
        <v>112</v>
      </c>
      <c r="E86" t="s">
        <v>113</v>
      </c>
      <c r="F86" t="s">
        <v>114</v>
      </c>
      <c r="G86" t="s">
        <v>115</v>
      </c>
      <c r="I86" t="s">
        <v>823</v>
      </c>
      <c r="J86" t="s">
        <v>118</v>
      </c>
      <c r="K86" t="s">
        <v>119</v>
      </c>
      <c r="L86" t="s">
        <v>120</v>
      </c>
      <c r="M86" t="s">
        <v>121</v>
      </c>
      <c r="N86" t="s">
        <v>419</v>
      </c>
      <c r="P86" t="s">
        <v>65</v>
      </c>
      <c r="Q86" t="s">
        <v>353</v>
      </c>
      <c r="S86" t="s">
        <v>248</v>
      </c>
      <c r="T86" t="s">
        <v>355</v>
      </c>
      <c r="W86" t="s">
        <v>648</v>
      </c>
      <c r="X86" t="s">
        <v>349</v>
      </c>
      <c r="Z86" t="s">
        <v>148</v>
      </c>
      <c r="AA86" t="s">
        <v>649</v>
      </c>
    </row>
    <row r="87" spans="1:27">
      <c r="A87" t="s">
        <v>824</v>
      </c>
      <c r="B87" s="1">
        <v>41464</v>
      </c>
      <c r="C87" t="s">
        <v>111</v>
      </c>
      <c r="D87" t="s">
        <v>112</v>
      </c>
      <c r="E87" t="s">
        <v>113</v>
      </c>
      <c r="F87" t="s">
        <v>114</v>
      </c>
      <c r="G87" t="s">
        <v>115</v>
      </c>
      <c r="I87" t="s">
        <v>825</v>
      </c>
      <c r="J87" t="s">
        <v>118</v>
      </c>
      <c r="K87" t="s">
        <v>119</v>
      </c>
      <c r="L87" t="s">
        <v>120</v>
      </c>
      <c r="M87" t="s">
        <v>121</v>
      </c>
      <c r="N87" t="s">
        <v>419</v>
      </c>
      <c r="P87" t="s">
        <v>65</v>
      </c>
      <c r="Q87" t="s">
        <v>353</v>
      </c>
      <c r="S87" t="s">
        <v>248</v>
      </c>
      <c r="T87" t="s">
        <v>355</v>
      </c>
      <c r="W87" t="s">
        <v>648</v>
      </c>
      <c r="X87" t="s">
        <v>349</v>
      </c>
      <c r="Z87" t="s">
        <v>148</v>
      </c>
      <c r="AA87" t="s">
        <v>649</v>
      </c>
    </row>
    <row r="88" spans="1:27">
      <c r="A88" t="s">
        <v>826</v>
      </c>
      <c r="B88" s="1">
        <v>41464</v>
      </c>
      <c r="C88" t="s">
        <v>111</v>
      </c>
      <c r="D88" t="s">
        <v>112</v>
      </c>
      <c r="E88" t="s">
        <v>113</v>
      </c>
      <c r="F88" t="s">
        <v>114</v>
      </c>
      <c r="G88" t="s">
        <v>115</v>
      </c>
      <c r="I88" t="s">
        <v>827</v>
      </c>
      <c r="J88" t="s">
        <v>118</v>
      </c>
      <c r="K88" t="s">
        <v>119</v>
      </c>
      <c r="L88" t="s">
        <v>120</v>
      </c>
      <c r="M88" t="s">
        <v>121</v>
      </c>
      <c r="N88" t="s">
        <v>419</v>
      </c>
      <c r="P88" t="s">
        <v>65</v>
      </c>
      <c r="Q88" t="s">
        <v>353</v>
      </c>
      <c r="S88" t="s">
        <v>248</v>
      </c>
      <c r="T88" t="s">
        <v>355</v>
      </c>
      <c r="W88" t="s">
        <v>648</v>
      </c>
      <c r="X88" t="s">
        <v>349</v>
      </c>
      <c r="Z88" t="s">
        <v>148</v>
      </c>
      <c r="AA88" t="s">
        <v>649</v>
      </c>
    </row>
    <row r="89" spans="1:27">
      <c r="A89" t="s">
        <v>828</v>
      </c>
      <c r="B89" s="1">
        <v>41464</v>
      </c>
      <c r="C89" t="s">
        <v>111</v>
      </c>
      <c r="D89" t="s">
        <v>112</v>
      </c>
      <c r="E89" t="s">
        <v>113</v>
      </c>
      <c r="F89" t="s">
        <v>114</v>
      </c>
      <c r="G89" t="s">
        <v>115</v>
      </c>
      <c r="I89" t="s">
        <v>829</v>
      </c>
      <c r="J89" t="s">
        <v>118</v>
      </c>
      <c r="K89" t="s">
        <v>119</v>
      </c>
      <c r="L89" t="s">
        <v>120</v>
      </c>
      <c r="M89" t="s">
        <v>121</v>
      </c>
      <c r="N89" t="s">
        <v>419</v>
      </c>
      <c r="P89" t="s">
        <v>65</v>
      </c>
      <c r="Q89" t="s">
        <v>353</v>
      </c>
      <c r="S89" t="s">
        <v>248</v>
      </c>
      <c r="T89" t="s">
        <v>355</v>
      </c>
      <c r="W89" t="s">
        <v>654</v>
      </c>
      <c r="X89" t="s">
        <v>349</v>
      </c>
      <c r="Z89" t="s">
        <v>148</v>
      </c>
      <c r="AA89" t="s">
        <v>655</v>
      </c>
    </row>
    <row r="90" spans="1:27">
      <c r="A90" t="s">
        <v>830</v>
      </c>
      <c r="B90" s="1">
        <v>41464</v>
      </c>
      <c r="C90" t="s">
        <v>111</v>
      </c>
      <c r="D90" t="s">
        <v>112</v>
      </c>
      <c r="E90" t="s">
        <v>113</v>
      </c>
      <c r="F90" t="s">
        <v>114</v>
      </c>
      <c r="G90" t="s">
        <v>115</v>
      </c>
      <c r="I90" t="s">
        <v>831</v>
      </c>
      <c r="J90" t="s">
        <v>118</v>
      </c>
      <c r="K90" t="s">
        <v>119</v>
      </c>
      <c r="L90" t="s">
        <v>120</v>
      </c>
      <c r="M90" t="s">
        <v>121</v>
      </c>
      <c r="N90" t="s">
        <v>419</v>
      </c>
      <c r="P90" t="s">
        <v>65</v>
      </c>
      <c r="Q90" t="s">
        <v>353</v>
      </c>
      <c r="S90" t="s">
        <v>248</v>
      </c>
      <c r="T90" t="s">
        <v>355</v>
      </c>
      <c r="W90" t="s">
        <v>648</v>
      </c>
      <c r="X90" t="s">
        <v>349</v>
      </c>
      <c r="Z90" t="s">
        <v>148</v>
      </c>
      <c r="AA90" t="s">
        <v>649</v>
      </c>
    </row>
    <row r="91" spans="1:27">
      <c r="A91" t="s">
        <v>832</v>
      </c>
      <c r="B91" s="1">
        <v>41464</v>
      </c>
      <c r="C91" t="s">
        <v>111</v>
      </c>
      <c r="D91" t="s">
        <v>112</v>
      </c>
      <c r="E91" t="s">
        <v>113</v>
      </c>
      <c r="F91" t="s">
        <v>114</v>
      </c>
      <c r="G91" t="s">
        <v>115</v>
      </c>
      <c r="I91" t="s">
        <v>833</v>
      </c>
      <c r="J91" t="s">
        <v>118</v>
      </c>
      <c r="K91" t="s">
        <v>119</v>
      </c>
      <c r="L91" t="s">
        <v>120</v>
      </c>
      <c r="M91" t="s">
        <v>121</v>
      </c>
      <c r="N91" t="s">
        <v>419</v>
      </c>
      <c r="P91" t="s">
        <v>65</v>
      </c>
      <c r="Q91" t="s">
        <v>353</v>
      </c>
      <c r="S91" t="s">
        <v>248</v>
      </c>
      <c r="T91" t="s">
        <v>355</v>
      </c>
      <c r="W91" t="s">
        <v>654</v>
      </c>
      <c r="X91" t="s">
        <v>349</v>
      </c>
      <c r="Z91" t="s">
        <v>148</v>
      </c>
      <c r="AA91" t="s">
        <v>655</v>
      </c>
    </row>
    <row r="92" spans="1:27">
      <c r="A92" t="s">
        <v>834</v>
      </c>
      <c r="B92" s="1">
        <v>41464</v>
      </c>
      <c r="C92" t="s">
        <v>111</v>
      </c>
      <c r="D92" t="s">
        <v>112</v>
      </c>
      <c r="E92" t="s">
        <v>113</v>
      </c>
      <c r="F92" t="s">
        <v>114</v>
      </c>
      <c r="G92" t="s">
        <v>115</v>
      </c>
      <c r="I92" t="s">
        <v>835</v>
      </c>
      <c r="J92" t="s">
        <v>118</v>
      </c>
      <c r="K92" t="s">
        <v>119</v>
      </c>
      <c r="L92" t="s">
        <v>120</v>
      </c>
      <c r="M92" t="s">
        <v>121</v>
      </c>
      <c r="N92" t="s">
        <v>419</v>
      </c>
      <c r="P92" t="s">
        <v>65</v>
      </c>
      <c r="Q92" t="s">
        <v>353</v>
      </c>
      <c r="S92" t="s">
        <v>248</v>
      </c>
      <c r="T92" t="s">
        <v>355</v>
      </c>
      <c r="W92" t="s">
        <v>654</v>
      </c>
      <c r="X92" t="s">
        <v>349</v>
      </c>
      <c r="Z92" t="s">
        <v>148</v>
      </c>
      <c r="AA92" t="s">
        <v>655</v>
      </c>
    </row>
    <row r="93" spans="1:27">
      <c r="A93" t="s">
        <v>836</v>
      </c>
      <c r="B93" s="1">
        <v>41464</v>
      </c>
      <c r="C93" t="s">
        <v>111</v>
      </c>
      <c r="D93" t="s">
        <v>112</v>
      </c>
      <c r="E93" t="s">
        <v>113</v>
      </c>
      <c r="F93" t="s">
        <v>114</v>
      </c>
      <c r="G93" t="s">
        <v>115</v>
      </c>
      <c r="I93" t="s">
        <v>837</v>
      </c>
      <c r="J93" t="s">
        <v>118</v>
      </c>
      <c r="K93" t="s">
        <v>119</v>
      </c>
      <c r="L93" t="s">
        <v>120</v>
      </c>
      <c r="M93" t="s">
        <v>121</v>
      </c>
      <c r="N93" t="s">
        <v>419</v>
      </c>
      <c r="P93" t="s">
        <v>65</v>
      </c>
      <c r="Q93" t="s">
        <v>353</v>
      </c>
      <c r="S93" t="s">
        <v>248</v>
      </c>
      <c r="T93" t="s">
        <v>355</v>
      </c>
      <c r="W93" t="s">
        <v>648</v>
      </c>
      <c r="X93" t="s">
        <v>349</v>
      </c>
      <c r="Z93" t="s">
        <v>148</v>
      </c>
      <c r="AA93" t="s">
        <v>649</v>
      </c>
    </row>
    <row r="94" spans="1:27">
      <c r="A94" t="s">
        <v>838</v>
      </c>
      <c r="B94" s="1">
        <v>41464</v>
      </c>
      <c r="C94" t="s">
        <v>111</v>
      </c>
      <c r="D94" t="s">
        <v>112</v>
      </c>
      <c r="E94" t="s">
        <v>113</v>
      </c>
      <c r="F94" t="s">
        <v>114</v>
      </c>
      <c r="G94" t="s">
        <v>115</v>
      </c>
      <c r="I94" t="s">
        <v>839</v>
      </c>
      <c r="J94" t="s">
        <v>118</v>
      </c>
      <c r="K94" t="s">
        <v>119</v>
      </c>
      <c r="L94" t="s">
        <v>120</v>
      </c>
      <c r="M94" t="s">
        <v>121</v>
      </c>
      <c r="N94" t="s">
        <v>199</v>
      </c>
      <c r="O94" t="s">
        <v>0</v>
      </c>
      <c r="P94" t="s">
        <v>65</v>
      </c>
      <c r="Q94" t="s">
        <v>353</v>
      </c>
      <c r="S94" t="s">
        <v>248</v>
      </c>
      <c r="T94" t="s">
        <v>355</v>
      </c>
      <c r="W94" t="s">
        <v>654</v>
      </c>
      <c r="X94" t="s">
        <v>349</v>
      </c>
      <c r="Z94" t="s">
        <v>148</v>
      </c>
      <c r="AA94" t="s">
        <v>655</v>
      </c>
    </row>
    <row r="95" spans="1:27">
      <c r="A95" t="s">
        <v>840</v>
      </c>
      <c r="B95" s="1">
        <v>41464</v>
      </c>
      <c r="C95" t="s">
        <v>111</v>
      </c>
      <c r="D95" t="s">
        <v>112</v>
      </c>
      <c r="E95" t="s">
        <v>113</v>
      </c>
      <c r="F95" t="s">
        <v>114</v>
      </c>
      <c r="G95" t="s">
        <v>115</v>
      </c>
      <c r="I95" t="s">
        <v>841</v>
      </c>
      <c r="J95" t="s">
        <v>118</v>
      </c>
      <c r="K95" t="s">
        <v>119</v>
      </c>
      <c r="L95" t="s">
        <v>120</v>
      </c>
      <c r="M95" t="s">
        <v>121</v>
      </c>
      <c r="N95" t="s">
        <v>199</v>
      </c>
      <c r="O95" t="s">
        <v>0</v>
      </c>
      <c r="P95" t="s">
        <v>65</v>
      </c>
      <c r="Q95" t="s">
        <v>353</v>
      </c>
      <c r="S95" t="s">
        <v>248</v>
      </c>
      <c r="T95" t="s">
        <v>355</v>
      </c>
      <c r="W95" t="s">
        <v>648</v>
      </c>
      <c r="X95" t="s">
        <v>349</v>
      </c>
      <c r="Z95" t="s">
        <v>148</v>
      </c>
      <c r="AA95" t="s">
        <v>649</v>
      </c>
    </row>
    <row r="96" spans="1:27">
      <c r="A96" t="s">
        <v>843</v>
      </c>
      <c r="B96" s="1">
        <v>41464</v>
      </c>
      <c r="C96" t="s">
        <v>111</v>
      </c>
      <c r="D96" t="s">
        <v>112</v>
      </c>
      <c r="E96" t="s">
        <v>113</v>
      </c>
      <c r="F96" t="s">
        <v>114</v>
      </c>
      <c r="G96" t="s">
        <v>115</v>
      </c>
      <c r="I96" t="s">
        <v>844</v>
      </c>
      <c r="J96" t="s">
        <v>118</v>
      </c>
      <c r="K96" t="s">
        <v>119</v>
      </c>
      <c r="L96" t="s">
        <v>120</v>
      </c>
      <c r="M96" t="s">
        <v>121</v>
      </c>
      <c r="N96" t="s">
        <v>199</v>
      </c>
      <c r="O96" t="s">
        <v>0</v>
      </c>
      <c r="P96" t="s">
        <v>65</v>
      </c>
      <c r="Q96" t="s">
        <v>353</v>
      </c>
      <c r="S96" t="s">
        <v>248</v>
      </c>
      <c r="T96" t="s">
        <v>355</v>
      </c>
      <c r="W96" t="s">
        <v>654</v>
      </c>
      <c r="X96" t="s">
        <v>349</v>
      </c>
      <c r="Z96" t="s">
        <v>148</v>
      </c>
      <c r="AA96" t="s">
        <v>655</v>
      </c>
    </row>
    <row r="97" spans="1:27">
      <c r="A97" t="s">
        <v>845</v>
      </c>
      <c r="B97" s="1">
        <v>41464</v>
      </c>
      <c r="C97" t="s">
        <v>111</v>
      </c>
      <c r="D97" t="s">
        <v>112</v>
      </c>
      <c r="E97" t="s">
        <v>113</v>
      </c>
      <c r="F97" t="s">
        <v>114</v>
      </c>
      <c r="G97" t="s">
        <v>115</v>
      </c>
      <c r="I97" t="s">
        <v>846</v>
      </c>
      <c r="J97" t="s">
        <v>118</v>
      </c>
      <c r="K97" t="s">
        <v>119</v>
      </c>
      <c r="L97" t="s">
        <v>120</v>
      </c>
      <c r="M97" t="s">
        <v>121</v>
      </c>
      <c r="N97" t="s">
        <v>199</v>
      </c>
      <c r="O97" t="s">
        <v>0</v>
      </c>
      <c r="P97" t="s">
        <v>65</v>
      </c>
      <c r="Q97" t="s">
        <v>353</v>
      </c>
      <c r="S97" t="s">
        <v>248</v>
      </c>
      <c r="T97" t="s">
        <v>355</v>
      </c>
      <c r="W97" t="s">
        <v>648</v>
      </c>
      <c r="X97" t="s">
        <v>349</v>
      </c>
      <c r="Z97" t="s">
        <v>148</v>
      </c>
      <c r="AA97" t="s">
        <v>649</v>
      </c>
    </row>
    <row r="98" spans="1:27">
      <c r="A98" t="s">
        <v>847</v>
      </c>
      <c r="B98" s="1">
        <v>41464</v>
      </c>
      <c r="C98" t="s">
        <v>111</v>
      </c>
      <c r="D98" t="s">
        <v>112</v>
      </c>
      <c r="E98" t="s">
        <v>113</v>
      </c>
      <c r="F98" t="s">
        <v>114</v>
      </c>
      <c r="G98" t="s">
        <v>115</v>
      </c>
      <c r="I98" t="s">
        <v>848</v>
      </c>
      <c r="J98" t="s">
        <v>118</v>
      </c>
      <c r="K98" t="s">
        <v>119</v>
      </c>
      <c r="L98" t="s">
        <v>120</v>
      </c>
      <c r="M98" t="s">
        <v>121</v>
      </c>
      <c r="N98" t="s">
        <v>199</v>
      </c>
      <c r="O98" t="s">
        <v>0</v>
      </c>
      <c r="P98" t="s">
        <v>65</v>
      </c>
      <c r="Q98" t="s">
        <v>353</v>
      </c>
      <c r="S98" t="s">
        <v>248</v>
      </c>
      <c r="T98" t="s">
        <v>355</v>
      </c>
      <c r="W98" t="s">
        <v>654</v>
      </c>
      <c r="X98" t="s">
        <v>349</v>
      </c>
      <c r="Z98" t="s">
        <v>148</v>
      </c>
      <c r="AA98" t="s">
        <v>655</v>
      </c>
    </row>
    <row r="99" spans="1:27">
      <c r="A99" t="s">
        <v>849</v>
      </c>
      <c r="B99" s="1">
        <v>41464</v>
      </c>
      <c r="C99" t="s">
        <v>111</v>
      </c>
      <c r="D99" t="s">
        <v>112</v>
      </c>
      <c r="E99" t="s">
        <v>113</v>
      </c>
      <c r="F99" t="s">
        <v>114</v>
      </c>
      <c r="G99" t="s">
        <v>115</v>
      </c>
      <c r="I99" t="s">
        <v>850</v>
      </c>
      <c r="J99" t="s">
        <v>118</v>
      </c>
      <c r="K99" t="s">
        <v>119</v>
      </c>
      <c r="L99" t="s">
        <v>120</v>
      </c>
      <c r="M99" t="s">
        <v>121</v>
      </c>
      <c r="N99" t="s">
        <v>199</v>
      </c>
      <c r="O99" t="s">
        <v>7</v>
      </c>
      <c r="P99" t="s">
        <v>53</v>
      </c>
      <c r="Q99" t="s">
        <v>615</v>
      </c>
      <c r="S99" t="s">
        <v>143</v>
      </c>
      <c r="T99" t="s">
        <v>745</v>
      </c>
      <c r="W99" t="s">
        <v>851</v>
      </c>
      <c r="X99" t="s">
        <v>758</v>
      </c>
      <c r="Z99" t="s">
        <v>340</v>
      </c>
      <c r="AA99" t="s">
        <v>852</v>
      </c>
    </row>
    <row r="100" spans="1:27">
      <c r="A100" t="s">
        <v>853</v>
      </c>
      <c r="B100" s="1">
        <v>41464</v>
      </c>
      <c r="C100" t="s">
        <v>111</v>
      </c>
      <c r="D100" t="s">
        <v>112</v>
      </c>
      <c r="E100" t="s">
        <v>113</v>
      </c>
      <c r="F100" t="s">
        <v>114</v>
      </c>
      <c r="G100" t="s">
        <v>115</v>
      </c>
      <c r="I100" t="s">
        <v>854</v>
      </c>
      <c r="J100" t="s">
        <v>118</v>
      </c>
      <c r="K100" t="s">
        <v>119</v>
      </c>
      <c r="L100" t="s">
        <v>120</v>
      </c>
      <c r="M100" t="s">
        <v>121</v>
      </c>
      <c r="N100" t="s">
        <v>199</v>
      </c>
      <c r="O100" t="s">
        <v>0</v>
      </c>
      <c r="P100" t="s">
        <v>65</v>
      </c>
      <c r="Q100" t="s">
        <v>353</v>
      </c>
      <c r="S100" t="s">
        <v>248</v>
      </c>
      <c r="T100" t="s">
        <v>355</v>
      </c>
      <c r="W100" t="s">
        <v>648</v>
      </c>
      <c r="X100" t="s">
        <v>349</v>
      </c>
      <c r="Z100" t="s">
        <v>148</v>
      </c>
      <c r="AA100" t="s">
        <v>649</v>
      </c>
    </row>
    <row r="101" spans="1:27">
      <c r="A101" t="s">
        <v>855</v>
      </c>
      <c r="B101" s="1">
        <v>41464</v>
      </c>
      <c r="C101" t="s">
        <v>111</v>
      </c>
      <c r="D101" t="s">
        <v>112</v>
      </c>
      <c r="E101" t="s">
        <v>113</v>
      </c>
      <c r="F101" t="s">
        <v>114</v>
      </c>
      <c r="G101" t="s">
        <v>115</v>
      </c>
      <c r="I101" t="s">
        <v>856</v>
      </c>
      <c r="J101" t="s">
        <v>118</v>
      </c>
      <c r="K101" t="s">
        <v>119</v>
      </c>
      <c r="L101" t="s">
        <v>120</v>
      </c>
      <c r="M101" t="s">
        <v>121</v>
      </c>
      <c r="N101" t="s">
        <v>199</v>
      </c>
      <c r="O101" t="s">
        <v>4</v>
      </c>
      <c r="P101" t="s">
        <v>53</v>
      </c>
      <c r="Q101" t="s">
        <v>309</v>
      </c>
      <c r="S101" t="s">
        <v>143</v>
      </c>
      <c r="T101" t="s">
        <v>857</v>
      </c>
      <c r="W101" t="s">
        <v>858</v>
      </c>
      <c r="X101" t="s">
        <v>758</v>
      </c>
      <c r="Z101" t="s">
        <v>593</v>
      </c>
      <c r="AA101" t="s">
        <v>138</v>
      </c>
    </row>
    <row r="102" spans="1:27">
      <c r="A102" t="s">
        <v>859</v>
      </c>
      <c r="B102" s="1">
        <v>41464</v>
      </c>
      <c r="C102" t="s">
        <v>111</v>
      </c>
      <c r="D102" t="s">
        <v>112</v>
      </c>
      <c r="E102" t="s">
        <v>113</v>
      </c>
      <c r="F102" t="s">
        <v>114</v>
      </c>
      <c r="G102" t="s">
        <v>115</v>
      </c>
      <c r="I102" t="s">
        <v>860</v>
      </c>
      <c r="J102" t="s">
        <v>118</v>
      </c>
      <c r="K102" t="s">
        <v>119</v>
      </c>
      <c r="L102" t="s">
        <v>120</v>
      </c>
      <c r="M102" t="s">
        <v>121</v>
      </c>
      <c r="N102" t="s">
        <v>199</v>
      </c>
      <c r="O102" t="s">
        <v>0</v>
      </c>
      <c r="P102" t="s">
        <v>65</v>
      </c>
      <c r="Q102" t="s">
        <v>353</v>
      </c>
      <c r="S102" t="s">
        <v>248</v>
      </c>
      <c r="T102" t="s">
        <v>355</v>
      </c>
      <c r="W102" t="s">
        <v>648</v>
      </c>
      <c r="X102" t="s">
        <v>349</v>
      </c>
      <c r="Z102" t="s">
        <v>148</v>
      </c>
      <c r="AA102" t="s">
        <v>649</v>
      </c>
    </row>
    <row r="103" spans="1:27">
      <c r="A103" t="s">
        <v>861</v>
      </c>
      <c r="B103" s="1">
        <v>41464</v>
      </c>
      <c r="C103" t="s">
        <v>111</v>
      </c>
      <c r="D103" t="s">
        <v>112</v>
      </c>
      <c r="E103" t="s">
        <v>113</v>
      </c>
      <c r="F103" t="s">
        <v>114</v>
      </c>
      <c r="G103" t="s">
        <v>115</v>
      </c>
      <c r="I103" t="s">
        <v>862</v>
      </c>
      <c r="J103" t="s">
        <v>118</v>
      </c>
      <c r="K103" t="s">
        <v>119</v>
      </c>
      <c r="L103" t="s">
        <v>120</v>
      </c>
      <c r="M103" t="s">
        <v>121</v>
      </c>
      <c r="N103" t="s">
        <v>199</v>
      </c>
      <c r="O103" t="s">
        <v>0</v>
      </c>
      <c r="P103" t="s">
        <v>65</v>
      </c>
      <c r="Q103" t="s">
        <v>353</v>
      </c>
      <c r="S103" t="s">
        <v>248</v>
      </c>
      <c r="T103" t="s">
        <v>355</v>
      </c>
      <c r="W103" t="s">
        <v>654</v>
      </c>
      <c r="X103" t="s">
        <v>349</v>
      </c>
      <c r="Z103" t="s">
        <v>148</v>
      </c>
      <c r="AA103" t="s">
        <v>655</v>
      </c>
    </row>
    <row r="104" spans="1:27">
      <c r="A104" t="s">
        <v>863</v>
      </c>
      <c r="B104" s="1">
        <v>41464</v>
      </c>
      <c r="C104" t="s">
        <v>111</v>
      </c>
      <c r="D104" t="s">
        <v>112</v>
      </c>
      <c r="E104" t="s">
        <v>113</v>
      </c>
      <c r="F104" t="s">
        <v>114</v>
      </c>
      <c r="G104" t="s">
        <v>115</v>
      </c>
      <c r="I104" t="s">
        <v>864</v>
      </c>
      <c r="J104" t="s">
        <v>118</v>
      </c>
      <c r="K104" t="s">
        <v>119</v>
      </c>
      <c r="L104" t="s">
        <v>120</v>
      </c>
      <c r="M104" t="s">
        <v>121</v>
      </c>
      <c r="N104" t="s">
        <v>199</v>
      </c>
      <c r="O104" t="s">
        <v>0</v>
      </c>
      <c r="P104" t="s">
        <v>65</v>
      </c>
      <c r="Q104" t="s">
        <v>353</v>
      </c>
      <c r="S104" t="s">
        <v>248</v>
      </c>
      <c r="T104" t="s">
        <v>355</v>
      </c>
      <c r="W104" t="s">
        <v>648</v>
      </c>
      <c r="X104" t="s">
        <v>349</v>
      </c>
      <c r="Z104" t="s">
        <v>148</v>
      </c>
      <c r="AA104" t="s">
        <v>649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Plan18"/>
  <dimension ref="A1:AA13"/>
  <sheetViews>
    <sheetView workbookViewId="0">
      <selection activeCell="I2" sqref="I2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838</v>
      </c>
      <c r="B2" s="1">
        <v>41464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I2" t="s">
        <v>839</v>
      </c>
      <c r="J2" t="s">
        <v>118</v>
      </c>
      <c r="K2" t="s">
        <v>119</v>
      </c>
      <c r="L2" t="s">
        <v>120</v>
      </c>
      <c r="M2" t="s">
        <v>121</v>
      </c>
      <c r="N2" t="s">
        <v>199</v>
      </c>
      <c r="O2" t="s">
        <v>0</v>
      </c>
      <c r="P2" t="s">
        <v>65</v>
      </c>
      <c r="Q2" t="s">
        <v>353</v>
      </c>
      <c r="S2" t="s">
        <v>248</v>
      </c>
      <c r="T2" t="s">
        <v>355</v>
      </c>
      <c r="W2" t="s">
        <v>654</v>
      </c>
      <c r="X2" t="s">
        <v>349</v>
      </c>
      <c r="Z2" t="s">
        <v>148</v>
      </c>
      <c r="AA2" t="s">
        <v>655</v>
      </c>
    </row>
    <row r="3" spans="1:27">
      <c r="A3" t="s">
        <v>840</v>
      </c>
      <c r="B3" s="1">
        <v>41464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I3" t="s">
        <v>841</v>
      </c>
      <c r="J3" t="s">
        <v>118</v>
      </c>
      <c r="K3" t="s">
        <v>119</v>
      </c>
      <c r="L3" t="s">
        <v>120</v>
      </c>
      <c r="M3" t="s">
        <v>121</v>
      </c>
      <c r="N3" t="s">
        <v>199</v>
      </c>
      <c r="O3" t="s">
        <v>0</v>
      </c>
      <c r="P3" t="s">
        <v>65</v>
      </c>
      <c r="Q3" t="s">
        <v>353</v>
      </c>
      <c r="S3" t="s">
        <v>248</v>
      </c>
      <c r="T3" t="s">
        <v>355</v>
      </c>
      <c r="W3" t="s">
        <v>648</v>
      </c>
      <c r="X3" t="s">
        <v>349</v>
      </c>
      <c r="Z3" t="s">
        <v>148</v>
      </c>
      <c r="AA3" t="s">
        <v>649</v>
      </c>
    </row>
    <row r="4" spans="1:27">
      <c r="A4" t="s">
        <v>842</v>
      </c>
      <c r="B4" s="1">
        <v>41464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I4" t="s">
        <v>819</v>
      </c>
      <c r="J4" t="s">
        <v>118</v>
      </c>
      <c r="K4" t="s">
        <v>119</v>
      </c>
      <c r="L4" t="s">
        <v>120</v>
      </c>
      <c r="M4" t="s">
        <v>121</v>
      </c>
      <c r="N4" t="s">
        <v>199</v>
      </c>
      <c r="O4" t="s">
        <v>0</v>
      </c>
      <c r="P4" t="s">
        <v>52</v>
      </c>
      <c r="Q4" t="s">
        <v>123</v>
      </c>
      <c r="S4" t="s">
        <v>168</v>
      </c>
      <c r="T4" t="s">
        <v>126</v>
      </c>
      <c r="W4" t="s">
        <v>223</v>
      </c>
      <c r="X4" t="s">
        <v>758</v>
      </c>
      <c r="Z4" t="s">
        <v>251</v>
      </c>
      <c r="AA4" t="s">
        <v>226</v>
      </c>
    </row>
    <row r="5" spans="1:27">
      <c r="A5" t="s">
        <v>843</v>
      </c>
      <c r="B5" s="1">
        <v>41464</v>
      </c>
      <c r="C5" t="s">
        <v>111</v>
      </c>
      <c r="D5" t="s">
        <v>112</v>
      </c>
      <c r="E5" t="s">
        <v>113</v>
      </c>
      <c r="F5" t="s">
        <v>114</v>
      </c>
      <c r="G5" t="s">
        <v>115</v>
      </c>
      <c r="I5" t="s">
        <v>844</v>
      </c>
      <c r="J5" t="s">
        <v>118</v>
      </c>
      <c r="K5" t="s">
        <v>119</v>
      </c>
      <c r="L5" t="s">
        <v>120</v>
      </c>
      <c r="M5" t="s">
        <v>121</v>
      </c>
      <c r="N5" t="s">
        <v>199</v>
      </c>
      <c r="O5" t="s">
        <v>0</v>
      </c>
      <c r="P5" t="s">
        <v>65</v>
      </c>
      <c r="Q5" t="s">
        <v>353</v>
      </c>
      <c r="S5" t="s">
        <v>248</v>
      </c>
      <c r="T5" t="s">
        <v>355</v>
      </c>
      <c r="W5" t="s">
        <v>654</v>
      </c>
      <c r="X5" t="s">
        <v>349</v>
      </c>
      <c r="Z5" t="s">
        <v>148</v>
      </c>
      <c r="AA5" t="s">
        <v>655</v>
      </c>
    </row>
    <row r="6" spans="1:27">
      <c r="A6" t="s">
        <v>845</v>
      </c>
      <c r="B6" s="1">
        <v>41464</v>
      </c>
      <c r="C6" t="s">
        <v>111</v>
      </c>
      <c r="D6" t="s">
        <v>112</v>
      </c>
      <c r="E6" t="s">
        <v>113</v>
      </c>
      <c r="F6" t="s">
        <v>114</v>
      </c>
      <c r="G6" t="s">
        <v>115</v>
      </c>
      <c r="I6" t="s">
        <v>846</v>
      </c>
      <c r="J6" t="s">
        <v>118</v>
      </c>
      <c r="K6" t="s">
        <v>119</v>
      </c>
      <c r="L6" t="s">
        <v>120</v>
      </c>
      <c r="M6" t="s">
        <v>121</v>
      </c>
      <c r="N6" t="s">
        <v>199</v>
      </c>
      <c r="O6" t="s">
        <v>0</v>
      </c>
      <c r="P6" t="s">
        <v>65</v>
      </c>
      <c r="Q6" t="s">
        <v>353</v>
      </c>
      <c r="S6" t="s">
        <v>248</v>
      </c>
      <c r="T6" t="s">
        <v>355</v>
      </c>
      <c r="W6" t="s">
        <v>648</v>
      </c>
      <c r="X6" t="s">
        <v>349</v>
      </c>
      <c r="Z6" t="s">
        <v>148</v>
      </c>
      <c r="AA6" t="s">
        <v>649</v>
      </c>
    </row>
    <row r="7" spans="1:27">
      <c r="A7" t="s">
        <v>847</v>
      </c>
      <c r="B7" s="1">
        <v>41464</v>
      </c>
      <c r="C7" t="s">
        <v>111</v>
      </c>
      <c r="D7" t="s">
        <v>112</v>
      </c>
      <c r="E7" t="s">
        <v>113</v>
      </c>
      <c r="F7" t="s">
        <v>114</v>
      </c>
      <c r="G7" t="s">
        <v>115</v>
      </c>
      <c r="I7" t="s">
        <v>848</v>
      </c>
      <c r="J7" t="s">
        <v>118</v>
      </c>
      <c r="K7" t="s">
        <v>119</v>
      </c>
      <c r="L7" t="s">
        <v>120</v>
      </c>
      <c r="M7" t="s">
        <v>121</v>
      </c>
      <c r="N7" t="s">
        <v>199</v>
      </c>
      <c r="O7" t="s">
        <v>0</v>
      </c>
      <c r="P7" t="s">
        <v>65</v>
      </c>
      <c r="Q7" t="s">
        <v>353</v>
      </c>
      <c r="S7" t="s">
        <v>248</v>
      </c>
      <c r="T7" t="s">
        <v>355</v>
      </c>
      <c r="W7" t="s">
        <v>654</v>
      </c>
      <c r="X7" t="s">
        <v>349</v>
      </c>
      <c r="Z7" t="s">
        <v>148</v>
      </c>
      <c r="AA7" t="s">
        <v>655</v>
      </c>
    </row>
    <row r="8" spans="1:27">
      <c r="A8" t="s">
        <v>853</v>
      </c>
      <c r="B8" s="1">
        <v>41464</v>
      </c>
      <c r="C8" t="s">
        <v>111</v>
      </c>
      <c r="D8" t="s">
        <v>112</v>
      </c>
      <c r="E8" t="s">
        <v>113</v>
      </c>
      <c r="F8" t="s">
        <v>114</v>
      </c>
      <c r="G8" t="s">
        <v>115</v>
      </c>
      <c r="I8" t="s">
        <v>854</v>
      </c>
      <c r="J8" t="s">
        <v>118</v>
      </c>
      <c r="K8" t="s">
        <v>119</v>
      </c>
      <c r="L8" t="s">
        <v>120</v>
      </c>
      <c r="M8" t="s">
        <v>121</v>
      </c>
      <c r="N8" t="s">
        <v>199</v>
      </c>
      <c r="O8" t="s">
        <v>0</v>
      </c>
      <c r="P8" t="s">
        <v>65</v>
      </c>
      <c r="Q8" t="s">
        <v>353</v>
      </c>
      <c r="S8" t="s">
        <v>248</v>
      </c>
      <c r="T8" t="s">
        <v>355</v>
      </c>
      <c r="W8" t="s">
        <v>648</v>
      </c>
      <c r="X8" t="s">
        <v>349</v>
      </c>
      <c r="Z8" t="s">
        <v>148</v>
      </c>
      <c r="AA8" t="s">
        <v>649</v>
      </c>
    </row>
    <row r="9" spans="1:27">
      <c r="A9" t="s">
        <v>859</v>
      </c>
      <c r="B9" s="1">
        <v>41464</v>
      </c>
      <c r="C9" t="s">
        <v>111</v>
      </c>
      <c r="D9" t="s">
        <v>112</v>
      </c>
      <c r="E9" t="s">
        <v>113</v>
      </c>
      <c r="F9" t="s">
        <v>114</v>
      </c>
      <c r="G9" t="s">
        <v>115</v>
      </c>
      <c r="I9" t="s">
        <v>860</v>
      </c>
      <c r="J9" t="s">
        <v>118</v>
      </c>
      <c r="K9" t="s">
        <v>119</v>
      </c>
      <c r="L9" t="s">
        <v>120</v>
      </c>
      <c r="M9" t="s">
        <v>121</v>
      </c>
      <c r="N9" t="s">
        <v>199</v>
      </c>
      <c r="O9" t="s">
        <v>0</v>
      </c>
      <c r="P9" t="s">
        <v>65</v>
      </c>
      <c r="Q9" t="s">
        <v>353</v>
      </c>
      <c r="S9" t="s">
        <v>248</v>
      </c>
      <c r="T9" t="s">
        <v>355</v>
      </c>
      <c r="W9" t="s">
        <v>648</v>
      </c>
      <c r="X9" t="s">
        <v>349</v>
      </c>
      <c r="Z9" t="s">
        <v>148</v>
      </c>
      <c r="AA9" t="s">
        <v>649</v>
      </c>
    </row>
    <row r="10" spans="1:27">
      <c r="A10" t="s">
        <v>861</v>
      </c>
      <c r="B10" s="1">
        <v>41464</v>
      </c>
      <c r="C10" t="s">
        <v>111</v>
      </c>
      <c r="D10" t="s">
        <v>112</v>
      </c>
      <c r="E10" t="s">
        <v>113</v>
      </c>
      <c r="F10" t="s">
        <v>114</v>
      </c>
      <c r="G10" t="s">
        <v>115</v>
      </c>
      <c r="I10" t="s">
        <v>862</v>
      </c>
      <c r="J10" t="s">
        <v>118</v>
      </c>
      <c r="K10" t="s">
        <v>119</v>
      </c>
      <c r="L10" t="s">
        <v>120</v>
      </c>
      <c r="M10" t="s">
        <v>121</v>
      </c>
      <c r="N10" t="s">
        <v>199</v>
      </c>
      <c r="O10" t="s">
        <v>0</v>
      </c>
      <c r="P10" t="s">
        <v>65</v>
      </c>
      <c r="Q10" t="s">
        <v>353</v>
      </c>
      <c r="S10" t="s">
        <v>248</v>
      </c>
      <c r="T10" t="s">
        <v>355</v>
      </c>
      <c r="W10" t="s">
        <v>654</v>
      </c>
      <c r="X10" t="s">
        <v>349</v>
      </c>
      <c r="Z10" t="s">
        <v>148</v>
      </c>
      <c r="AA10" t="s">
        <v>655</v>
      </c>
    </row>
    <row r="11" spans="1:27">
      <c r="A11" t="s">
        <v>863</v>
      </c>
      <c r="B11" s="1">
        <v>41464</v>
      </c>
      <c r="C11" t="s">
        <v>111</v>
      </c>
      <c r="D11" t="s">
        <v>112</v>
      </c>
      <c r="E11" t="s">
        <v>113</v>
      </c>
      <c r="F11" t="s">
        <v>114</v>
      </c>
      <c r="G11" t="s">
        <v>115</v>
      </c>
      <c r="I11" t="s">
        <v>864</v>
      </c>
      <c r="J11" t="s">
        <v>118</v>
      </c>
      <c r="K11" t="s">
        <v>119</v>
      </c>
      <c r="L11" t="s">
        <v>120</v>
      </c>
      <c r="M11" t="s">
        <v>121</v>
      </c>
      <c r="N11" t="s">
        <v>199</v>
      </c>
      <c r="O11" t="s">
        <v>0</v>
      </c>
      <c r="P11" t="s">
        <v>65</v>
      </c>
      <c r="Q11" t="s">
        <v>353</v>
      </c>
      <c r="S11" t="s">
        <v>248</v>
      </c>
      <c r="T11" t="s">
        <v>355</v>
      </c>
      <c r="W11" t="s">
        <v>648</v>
      </c>
      <c r="X11" t="s">
        <v>349</v>
      </c>
      <c r="Z11" t="s">
        <v>148</v>
      </c>
      <c r="AA11" t="s">
        <v>649</v>
      </c>
    </row>
    <row r="12" spans="1:27">
      <c r="A12" t="s">
        <v>855</v>
      </c>
      <c r="B12" s="1">
        <v>41464</v>
      </c>
      <c r="C12" t="s">
        <v>111</v>
      </c>
      <c r="D12" t="s">
        <v>112</v>
      </c>
      <c r="E12" t="s">
        <v>113</v>
      </c>
      <c r="F12" t="s">
        <v>114</v>
      </c>
      <c r="G12" t="s">
        <v>115</v>
      </c>
      <c r="I12" t="s">
        <v>856</v>
      </c>
      <c r="J12" t="s">
        <v>118</v>
      </c>
      <c r="K12" t="s">
        <v>119</v>
      </c>
      <c r="L12" t="s">
        <v>120</v>
      </c>
      <c r="M12" t="s">
        <v>121</v>
      </c>
      <c r="N12" t="s">
        <v>199</v>
      </c>
      <c r="O12" t="s">
        <v>4</v>
      </c>
      <c r="P12" t="s">
        <v>53</v>
      </c>
      <c r="Q12" t="s">
        <v>309</v>
      </c>
      <c r="S12" t="s">
        <v>143</v>
      </c>
      <c r="T12" t="s">
        <v>857</v>
      </c>
      <c r="W12" t="s">
        <v>858</v>
      </c>
      <c r="X12" t="s">
        <v>758</v>
      </c>
      <c r="Z12" t="s">
        <v>593</v>
      </c>
      <c r="AA12" t="s">
        <v>138</v>
      </c>
    </row>
    <row r="13" spans="1:27">
      <c r="A13" t="s">
        <v>849</v>
      </c>
      <c r="B13" s="1">
        <v>41464</v>
      </c>
      <c r="C13" t="s">
        <v>111</v>
      </c>
      <c r="D13" t="s">
        <v>112</v>
      </c>
      <c r="E13" t="s">
        <v>113</v>
      </c>
      <c r="F13" t="s">
        <v>114</v>
      </c>
      <c r="G13" t="s">
        <v>115</v>
      </c>
      <c r="I13" t="s">
        <v>850</v>
      </c>
      <c r="J13" t="s">
        <v>118</v>
      </c>
      <c r="K13" t="s">
        <v>119</v>
      </c>
      <c r="L13" t="s">
        <v>120</v>
      </c>
      <c r="M13" t="s">
        <v>121</v>
      </c>
      <c r="N13" t="s">
        <v>199</v>
      </c>
      <c r="O13" t="s">
        <v>7</v>
      </c>
      <c r="P13" t="s">
        <v>53</v>
      </c>
      <c r="Q13" t="s">
        <v>615</v>
      </c>
      <c r="S13" t="s">
        <v>143</v>
      </c>
      <c r="T13" t="s">
        <v>745</v>
      </c>
      <c r="W13" t="s">
        <v>851</v>
      </c>
      <c r="X13" t="s">
        <v>758</v>
      </c>
      <c r="Z13" t="s">
        <v>340</v>
      </c>
      <c r="AA13" t="s">
        <v>852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Plan19"/>
  <dimension ref="A1:AA71"/>
  <sheetViews>
    <sheetView workbookViewId="0">
      <selection activeCell="I3" sqref="I3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865</v>
      </c>
      <c r="B2" s="1">
        <v>41465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H2" t="s">
        <v>116</v>
      </c>
      <c r="I2" t="s">
        <v>866</v>
      </c>
      <c r="J2" t="s">
        <v>118</v>
      </c>
      <c r="K2" t="s">
        <v>119</v>
      </c>
      <c r="L2" t="s">
        <v>120</v>
      </c>
      <c r="M2" t="s">
        <v>121</v>
      </c>
      <c r="N2" t="s">
        <v>122</v>
      </c>
      <c r="P2" t="s">
        <v>65</v>
      </c>
      <c r="Q2" t="s">
        <v>353</v>
      </c>
      <c r="R2" t="s">
        <v>135</v>
      </c>
      <c r="S2" t="s">
        <v>248</v>
      </c>
      <c r="T2" t="s">
        <v>355</v>
      </c>
      <c r="U2" t="s">
        <v>127</v>
      </c>
      <c r="V2" t="s">
        <v>128</v>
      </c>
      <c r="W2" t="s">
        <v>648</v>
      </c>
      <c r="X2" t="s">
        <v>349</v>
      </c>
      <c r="Y2" t="s">
        <v>128</v>
      </c>
      <c r="Z2" t="s">
        <v>148</v>
      </c>
      <c r="AA2" t="s">
        <v>649</v>
      </c>
    </row>
    <row r="3" spans="1:27">
      <c r="A3" t="s">
        <v>867</v>
      </c>
      <c r="B3" s="1">
        <v>41465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H3" t="s">
        <v>116</v>
      </c>
      <c r="I3" t="s">
        <v>868</v>
      </c>
      <c r="J3" t="s">
        <v>118</v>
      </c>
      <c r="K3" t="s">
        <v>119</v>
      </c>
      <c r="L3" t="s">
        <v>120</v>
      </c>
      <c r="M3" t="s">
        <v>121</v>
      </c>
      <c r="N3" t="s">
        <v>122</v>
      </c>
      <c r="P3" t="s">
        <v>65</v>
      </c>
      <c r="Q3" t="s">
        <v>353</v>
      </c>
      <c r="R3" t="s">
        <v>135</v>
      </c>
      <c r="S3" t="s">
        <v>248</v>
      </c>
      <c r="T3" t="s">
        <v>355</v>
      </c>
      <c r="U3" t="s">
        <v>127</v>
      </c>
      <c r="V3" t="s">
        <v>128</v>
      </c>
      <c r="W3" t="s">
        <v>648</v>
      </c>
      <c r="X3" t="s">
        <v>349</v>
      </c>
      <c r="Y3" t="s">
        <v>128</v>
      </c>
      <c r="Z3" t="s">
        <v>148</v>
      </c>
      <c r="AA3" t="s">
        <v>649</v>
      </c>
    </row>
    <row r="4" spans="1:27">
      <c r="A4" t="s">
        <v>869</v>
      </c>
      <c r="B4" s="1">
        <v>41465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H4" t="s">
        <v>116</v>
      </c>
      <c r="I4" t="s">
        <v>870</v>
      </c>
      <c r="J4" t="s">
        <v>118</v>
      </c>
      <c r="K4" t="s">
        <v>119</v>
      </c>
      <c r="L4" t="s">
        <v>120</v>
      </c>
      <c r="M4" t="s">
        <v>121</v>
      </c>
      <c r="N4" t="s">
        <v>122</v>
      </c>
      <c r="P4" t="s">
        <v>65</v>
      </c>
      <c r="Q4" t="s">
        <v>353</v>
      </c>
      <c r="R4" t="s">
        <v>135</v>
      </c>
      <c r="S4" t="s">
        <v>248</v>
      </c>
      <c r="T4" t="s">
        <v>355</v>
      </c>
      <c r="U4" t="s">
        <v>127</v>
      </c>
      <c r="V4" t="s">
        <v>128</v>
      </c>
      <c r="W4" t="s">
        <v>648</v>
      </c>
      <c r="X4" t="s">
        <v>349</v>
      </c>
      <c r="Y4" t="s">
        <v>128</v>
      </c>
      <c r="Z4" t="s">
        <v>148</v>
      </c>
      <c r="AA4" t="s">
        <v>649</v>
      </c>
    </row>
    <row r="5" spans="1:27">
      <c r="A5" t="s">
        <v>871</v>
      </c>
      <c r="B5" s="1">
        <v>41465</v>
      </c>
      <c r="C5" t="s">
        <v>111</v>
      </c>
      <c r="D5" t="s">
        <v>112</v>
      </c>
      <c r="E5" t="s">
        <v>113</v>
      </c>
      <c r="F5" t="s">
        <v>114</v>
      </c>
      <c r="G5" t="s">
        <v>115</v>
      </c>
      <c r="H5" t="s">
        <v>116</v>
      </c>
      <c r="I5" t="s">
        <v>595</v>
      </c>
      <c r="J5" t="s">
        <v>118</v>
      </c>
      <c r="K5" t="s">
        <v>119</v>
      </c>
      <c r="L5" t="s">
        <v>120</v>
      </c>
      <c r="M5" t="s">
        <v>121</v>
      </c>
      <c r="N5" t="s">
        <v>122</v>
      </c>
      <c r="P5" t="s">
        <v>52</v>
      </c>
      <c r="Q5" t="s">
        <v>872</v>
      </c>
      <c r="R5" t="s">
        <v>873</v>
      </c>
      <c r="S5" t="s">
        <v>143</v>
      </c>
      <c r="T5" t="s">
        <v>874</v>
      </c>
      <c r="U5" t="s">
        <v>127</v>
      </c>
      <c r="V5" t="s">
        <v>231</v>
      </c>
      <c r="W5" t="s">
        <v>875</v>
      </c>
      <c r="X5" t="s">
        <v>876</v>
      </c>
      <c r="Y5" t="s">
        <v>231</v>
      </c>
      <c r="Z5" t="s">
        <v>218</v>
      </c>
      <c r="AA5" t="s">
        <v>149</v>
      </c>
    </row>
    <row r="6" spans="1:27">
      <c r="A6" t="s">
        <v>877</v>
      </c>
      <c r="B6" s="1">
        <v>41465</v>
      </c>
      <c r="C6" t="s">
        <v>111</v>
      </c>
      <c r="D6" t="s">
        <v>112</v>
      </c>
      <c r="E6" t="s">
        <v>113</v>
      </c>
      <c r="F6" t="s">
        <v>114</v>
      </c>
      <c r="G6" t="s">
        <v>115</v>
      </c>
      <c r="H6" t="s">
        <v>116</v>
      </c>
      <c r="I6" t="s">
        <v>878</v>
      </c>
      <c r="J6" t="s">
        <v>118</v>
      </c>
      <c r="K6" t="s">
        <v>119</v>
      </c>
      <c r="L6" t="s">
        <v>120</v>
      </c>
      <c r="M6" t="s">
        <v>121</v>
      </c>
      <c r="N6" t="s">
        <v>122</v>
      </c>
      <c r="P6" t="s">
        <v>65</v>
      </c>
      <c r="Q6" t="s">
        <v>353</v>
      </c>
      <c r="R6" t="s">
        <v>135</v>
      </c>
      <c r="S6" t="s">
        <v>248</v>
      </c>
      <c r="T6" t="s">
        <v>355</v>
      </c>
      <c r="U6" t="s">
        <v>127</v>
      </c>
      <c r="V6" t="s">
        <v>128</v>
      </c>
      <c r="W6" t="s">
        <v>648</v>
      </c>
      <c r="X6" t="s">
        <v>349</v>
      </c>
      <c r="Y6" t="s">
        <v>128</v>
      </c>
      <c r="Z6" t="s">
        <v>148</v>
      </c>
      <c r="AA6" t="s">
        <v>649</v>
      </c>
    </row>
    <row r="7" spans="1:27">
      <c r="A7" t="s">
        <v>879</v>
      </c>
      <c r="B7" s="1">
        <v>41465</v>
      </c>
      <c r="C7" t="s">
        <v>111</v>
      </c>
      <c r="D7" t="s">
        <v>112</v>
      </c>
      <c r="E7" t="s">
        <v>113</v>
      </c>
      <c r="F7" t="s">
        <v>114</v>
      </c>
      <c r="G7" t="s">
        <v>115</v>
      </c>
      <c r="H7" t="s">
        <v>116</v>
      </c>
      <c r="I7" t="s">
        <v>880</v>
      </c>
      <c r="J7" t="s">
        <v>118</v>
      </c>
      <c r="K7" t="s">
        <v>119</v>
      </c>
      <c r="L7" t="s">
        <v>120</v>
      </c>
      <c r="M7" t="s">
        <v>121</v>
      </c>
      <c r="N7" t="s">
        <v>122</v>
      </c>
      <c r="P7" t="s">
        <v>65</v>
      </c>
      <c r="Q7" t="s">
        <v>353</v>
      </c>
      <c r="R7" t="s">
        <v>135</v>
      </c>
      <c r="S7" t="s">
        <v>248</v>
      </c>
      <c r="T7" t="s">
        <v>355</v>
      </c>
      <c r="U7" t="s">
        <v>127</v>
      </c>
      <c r="V7" t="s">
        <v>128</v>
      </c>
      <c r="W7" t="s">
        <v>648</v>
      </c>
      <c r="X7" t="s">
        <v>349</v>
      </c>
      <c r="Y7" t="s">
        <v>128</v>
      </c>
      <c r="Z7" t="s">
        <v>148</v>
      </c>
      <c r="AA7" t="s">
        <v>649</v>
      </c>
    </row>
    <row r="8" spans="1:27">
      <c r="A8" t="s">
        <v>881</v>
      </c>
      <c r="B8" s="1">
        <v>41465</v>
      </c>
      <c r="C8" t="s">
        <v>111</v>
      </c>
      <c r="D8" t="s">
        <v>112</v>
      </c>
      <c r="E8" t="s">
        <v>113</v>
      </c>
      <c r="F8" t="s">
        <v>114</v>
      </c>
      <c r="G8" t="s">
        <v>115</v>
      </c>
      <c r="H8" t="s">
        <v>116</v>
      </c>
      <c r="I8" t="s">
        <v>882</v>
      </c>
      <c r="J8" t="s">
        <v>118</v>
      </c>
      <c r="K8" t="s">
        <v>119</v>
      </c>
      <c r="L8" t="s">
        <v>120</v>
      </c>
      <c r="M8" t="s">
        <v>121</v>
      </c>
      <c r="N8" t="s">
        <v>122</v>
      </c>
      <c r="P8" t="s">
        <v>65</v>
      </c>
      <c r="Q8" t="s">
        <v>353</v>
      </c>
      <c r="R8" t="s">
        <v>135</v>
      </c>
      <c r="S8" t="s">
        <v>248</v>
      </c>
      <c r="T8" t="s">
        <v>355</v>
      </c>
      <c r="U8" t="s">
        <v>127</v>
      </c>
      <c r="V8" t="s">
        <v>128</v>
      </c>
      <c r="W8" t="s">
        <v>648</v>
      </c>
      <c r="X8" t="s">
        <v>349</v>
      </c>
      <c r="Y8" t="s">
        <v>128</v>
      </c>
      <c r="Z8" t="s">
        <v>148</v>
      </c>
      <c r="AA8" t="s">
        <v>649</v>
      </c>
    </row>
    <row r="9" spans="1:27">
      <c r="A9" t="s">
        <v>883</v>
      </c>
      <c r="B9" s="1">
        <v>41465</v>
      </c>
      <c r="C9" t="s">
        <v>111</v>
      </c>
      <c r="D9" t="s">
        <v>112</v>
      </c>
      <c r="E9" t="s">
        <v>113</v>
      </c>
      <c r="F9" t="s">
        <v>114</v>
      </c>
      <c r="G9" t="s">
        <v>115</v>
      </c>
      <c r="H9" t="s">
        <v>116</v>
      </c>
      <c r="I9" t="s">
        <v>884</v>
      </c>
      <c r="J9" t="s">
        <v>118</v>
      </c>
      <c r="K9" t="s">
        <v>119</v>
      </c>
      <c r="L9" t="s">
        <v>120</v>
      </c>
      <c r="M9" t="s">
        <v>121</v>
      </c>
      <c r="N9" t="s">
        <v>122</v>
      </c>
      <c r="P9" t="s">
        <v>65</v>
      </c>
      <c r="Q9" t="s">
        <v>353</v>
      </c>
      <c r="R9" t="s">
        <v>135</v>
      </c>
      <c r="S9" t="s">
        <v>248</v>
      </c>
      <c r="T9" t="s">
        <v>355</v>
      </c>
      <c r="U9" t="s">
        <v>127</v>
      </c>
      <c r="V9" t="s">
        <v>128</v>
      </c>
      <c r="W9" t="s">
        <v>648</v>
      </c>
      <c r="X9" t="s">
        <v>349</v>
      </c>
      <c r="Y9" t="s">
        <v>128</v>
      </c>
      <c r="Z9" t="s">
        <v>148</v>
      </c>
      <c r="AA9" t="s">
        <v>649</v>
      </c>
    </row>
    <row r="10" spans="1:27">
      <c r="A10" t="s">
        <v>885</v>
      </c>
      <c r="B10" s="1">
        <v>41465</v>
      </c>
      <c r="C10" t="s">
        <v>111</v>
      </c>
      <c r="D10" t="s">
        <v>112</v>
      </c>
      <c r="E10" t="s">
        <v>113</v>
      </c>
      <c r="F10" t="s">
        <v>114</v>
      </c>
      <c r="G10" t="s">
        <v>115</v>
      </c>
      <c r="H10" t="s">
        <v>116</v>
      </c>
      <c r="I10" t="s">
        <v>886</v>
      </c>
      <c r="J10" t="s">
        <v>118</v>
      </c>
      <c r="K10" t="s">
        <v>119</v>
      </c>
      <c r="L10" t="s">
        <v>120</v>
      </c>
      <c r="M10" t="s">
        <v>121</v>
      </c>
      <c r="N10" t="s">
        <v>122</v>
      </c>
      <c r="P10" t="s">
        <v>65</v>
      </c>
      <c r="Q10" t="s">
        <v>353</v>
      </c>
      <c r="R10" t="s">
        <v>135</v>
      </c>
      <c r="S10" t="s">
        <v>248</v>
      </c>
      <c r="T10" t="s">
        <v>355</v>
      </c>
      <c r="U10" t="s">
        <v>127</v>
      </c>
      <c r="V10" t="s">
        <v>128</v>
      </c>
      <c r="W10" t="s">
        <v>648</v>
      </c>
      <c r="X10" t="s">
        <v>349</v>
      </c>
      <c r="Y10" t="s">
        <v>128</v>
      </c>
      <c r="Z10" t="s">
        <v>148</v>
      </c>
      <c r="AA10" t="s">
        <v>649</v>
      </c>
    </row>
    <row r="11" spans="1:27">
      <c r="A11" t="s">
        <v>887</v>
      </c>
      <c r="B11" s="1">
        <v>41465</v>
      </c>
      <c r="C11" t="s">
        <v>111</v>
      </c>
      <c r="D11" t="s">
        <v>112</v>
      </c>
      <c r="E11" t="s">
        <v>113</v>
      </c>
      <c r="F11" t="s">
        <v>114</v>
      </c>
      <c r="G11" t="s">
        <v>115</v>
      </c>
      <c r="H11" t="s">
        <v>116</v>
      </c>
      <c r="I11" t="s">
        <v>888</v>
      </c>
      <c r="J11" t="s">
        <v>118</v>
      </c>
      <c r="K11" t="s">
        <v>119</v>
      </c>
      <c r="L11" t="s">
        <v>120</v>
      </c>
      <c r="M11" t="s">
        <v>121</v>
      </c>
      <c r="N11" t="s">
        <v>122</v>
      </c>
      <c r="P11" t="s">
        <v>65</v>
      </c>
      <c r="Q11" t="s">
        <v>353</v>
      </c>
      <c r="R11" t="s">
        <v>135</v>
      </c>
      <c r="S11" t="s">
        <v>248</v>
      </c>
      <c r="T11" t="s">
        <v>355</v>
      </c>
      <c r="U11" t="s">
        <v>127</v>
      </c>
      <c r="V11" t="s">
        <v>128</v>
      </c>
      <c r="W11" t="s">
        <v>648</v>
      </c>
      <c r="X11" t="s">
        <v>349</v>
      </c>
      <c r="Y11" t="s">
        <v>128</v>
      </c>
      <c r="Z11" t="s">
        <v>148</v>
      </c>
      <c r="AA11" t="s">
        <v>649</v>
      </c>
    </row>
    <row r="12" spans="1:27">
      <c r="A12" t="s">
        <v>889</v>
      </c>
      <c r="B12" s="1">
        <v>41465</v>
      </c>
      <c r="C12" t="s">
        <v>111</v>
      </c>
      <c r="D12" t="s">
        <v>112</v>
      </c>
      <c r="E12" t="s">
        <v>113</v>
      </c>
      <c r="F12" t="s">
        <v>114</v>
      </c>
      <c r="G12" t="s">
        <v>115</v>
      </c>
      <c r="H12" t="s">
        <v>116</v>
      </c>
      <c r="I12" t="s">
        <v>890</v>
      </c>
      <c r="J12" t="s">
        <v>118</v>
      </c>
      <c r="K12" t="s">
        <v>119</v>
      </c>
      <c r="L12" t="s">
        <v>120</v>
      </c>
      <c r="M12" t="s">
        <v>121</v>
      </c>
      <c r="N12" t="s">
        <v>122</v>
      </c>
      <c r="P12" t="s">
        <v>54</v>
      </c>
      <c r="Q12" t="s">
        <v>211</v>
      </c>
      <c r="R12" t="s">
        <v>135</v>
      </c>
      <c r="S12" t="s">
        <v>143</v>
      </c>
      <c r="T12" t="s">
        <v>296</v>
      </c>
      <c r="U12" t="s">
        <v>145</v>
      </c>
      <c r="V12" t="s">
        <v>128</v>
      </c>
      <c r="W12" t="s">
        <v>891</v>
      </c>
      <c r="X12" t="s">
        <v>758</v>
      </c>
      <c r="Y12" t="s">
        <v>128</v>
      </c>
      <c r="Z12" t="s">
        <v>163</v>
      </c>
      <c r="AA12" t="s">
        <v>138</v>
      </c>
    </row>
    <row r="13" spans="1:27">
      <c r="A13" t="s">
        <v>892</v>
      </c>
      <c r="B13" s="1">
        <v>41465</v>
      </c>
      <c r="C13" t="s">
        <v>111</v>
      </c>
      <c r="D13" t="s">
        <v>112</v>
      </c>
      <c r="E13" t="s">
        <v>113</v>
      </c>
      <c r="F13" t="s">
        <v>114</v>
      </c>
      <c r="G13" t="s">
        <v>115</v>
      </c>
      <c r="H13" t="s">
        <v>116</v>
      </c>
      <c r="I13" t="s">
        <v>893</v>
      </c>
      <c r="J13" t="s">
        <v>118</v>
      </c>
      <c r="K13" t="s">
        <v>119</v>
      </c>
      <c r="L13" t="s">
        <v>120</v>
      </c>
      <c r="M13" t="s">
        <v>121</v>
      </c>
      <c r="N13" t="s">
        <v>122</v>
      </c>
      <c r="P13" t="s">
        <v>53</v>
      </c>
      <c r="Q13" t="s">
        <v>246</v>
      </c>
      <c r="R13" t="s">
        <v>135</v>
      </c>
      <c r="S13" t="s">
        <v>143</v>
      </c>
      <c r="T13" t="s">
        <v>616</v>
      </c>
      <c r="U13" t="s">
        <v>127</v>
      </c>
      <c r="V13" t="s">
        <v>128</v>
      </c>
      <c r="W13" t="s">
        <v>894</v>
      </c>
      <c r="X13" t="s">
        <v>876</v>
      </c>
      <c r="Y13" t="s">
        <v>128</v>
      </c>
      <c r="Z13" t="s">
        <v>152</v>
      </c>
      <c r="AA13" t="s">
        <v>138</v>
      </c>
    </row>
    <row r="14" spans="1:27">
      <c r="A14" t="s">
        <v>895</v>
      </c>
      <c r="B14" s="1">
        <v>41465</v>
      </c>
      <c r="C14" t="s">
        <v>111</v>
      </c>
      <c r="D14" t="s">
        <v>112</v>
      </c>
      <c r="E14" t="s">
        <v>113</v>
      </c>
      <c r="F14" t="s">
        <v>114</v>
      </c>
      <c r="G14" t="s">
        <v>115</v>
      </c>
      <c r="H14" t="s">
        <v>116</v>
      </c>
      <c r="I14" t="s">
        <v>896</v>
      </c>
      <c r="J14" t="s">
        <v>118</v>
      </c>
      <c r="K14" t="s">
        <v>119</v>
      </c>
      <c r="L14" t="s">
        <v>120</v>
      </c>
      <c r="M14" t="s">
        <v>121</v>
      </c>
      <c r="N14" t="s">
        <v>122</v>
      </c>
      <c r="P14" t="s">
        <v>65</v>
      </c>
      <c r="Q14" t="s">
        <v>353</v>
      </c>
      <c r="R14" t="s">
        <v>135</v>
      </c>
      <c r="S14" t="s">
        <v>248</v>
      </c>
      <c r="T14" t="s">
        <v>355</v>
      </c>
      <c r="U14" t="s">
        <v>127</v>
      </c>
      <c r="V14" t="s">
        <v>128</v>
      </c>
      <c r="W14" t="s">
        <v>648</v>
      </c>
      <c r="X14" t="s">
        <v>349</v>
      </c>
      <c r="Y14" t="s">
        <v>128</v>
      </c>
      <c r="Z14" t="s">
        <v>148</v>
      </c>
      <c r="AA14" t="s">
        <v>649</v>
      </c>
    </row>
    <row r="15" spans="1:27">
      <c r="A15" t="s">
        <v>897</v>
      </c>
      <c r="B15" s="1">
        <v>41465</v>
      </c>
      <c r="C15" t="s">
        <v>111</v>
      </c>
      <c r="D15" t="s">
        <v>112</v>
      </c>
      <c r="E15" t="s">
        <v>113</v>
      </c>
      <c r="F15" t="s">
        <v>114</v>
      </c>
      <c r="G15" t="s">
        <v>115</v>
      </c>
      <c r="H15" t="s">
        <v>116</v>
      </c>
      <c r="I15" t="s">
        <v>898</v>
      </c>
      <c r="J15" t="s">
        <v>118</v>
      </c>
      <c r="K15" t="s">
        <v>119</v>
      </c>
      <c r="L15" t="s">
        <v>120</v>
      </c>
      <c r="M15" t="s">
        <v>121</v>
      </c>
      <c r="N15" t="s">
        <v>122</v>
      </c>
      <c r="P15" t="s">
        <v>65</v>
      </c>
      <c r="Q15" t="s">
        <v>353</v>
      </c>
      <c r="R15" t="s">
        <v>135</v>
      </c>
      <c r="S15" t="s">
        <v>248</v>
      </c>
      <c r="T15" t="s">
        <v>355</v>
      </c>
      <c r="U15" t="s">
        <v>127</v>
      </c>
      <c r="V15" t="s">
        <v>128</v>
      </c>
      <c r="W15" t="s">
        <v>648</v>
      </c>
      <c r="X15" t="s">
        <v>349</v>
      </c>
      <c r="Y15" t="s">
        <v>128</v>
      </c>
      <c r="Z15" t="s">
        <v>148</v>
      </c>
      <c r="AA15" t="s">
        <v>649</v>
      </c>
    </row>
    <row r="16" spans="1:27">
      <c r="A16" t="s">
        <v>899</v>
      </c>
      <c r="B16" s="1">
        <v>41465</v>
      </c>
      <c r="C16" t="s">
        <v>111</v>
      </c>
      <c r="D16" t="s">
        <v>112</v>
      </c>
      <c r="E16" t="s">
        <v>113</v>
      </c>
      <c r="F16" t="s">
        <v>114</v>
      </c>
      <c r="G16" t="s">
        <v>115</v>
      </c>
      <c r="H16" t="s">
        <v>116</v>
      </c>
      <c r="I16" t="s">
        <v>900</v>
      </c>
      <c r="J16" t="s">
        <v>118</v>
      </c>
      <c r="K16" t="s">
        <v>119</v>
      </c>
      <c r="L16" t="s">
        <v>120</v>
      </c>
      <c r="M16" t="s">
        <v>121</v>
      </c>
      <c r="N16" t="s">
        <v>122</v>
      </c>
      <c r="P16" t="s">
        <v>65</v>
      </c>
      <c r="Q16" t="s">
        <v>353</v>
      </c>
      <c r="R16" t="s">
        <v>135</v>
      </c>
      <c r="S16" t="s">
        <v>248</v>
      </c>
      <c r="T16" t="s">
        <v>355</v>
      </c>
      <c r="U16" t="s">
        <v>127</v>
      </c>
      <c r="V16" t="s">
        <v>128</v>
      </c>
      <c r="W16" t="s">
        <v>648</v>
      </c>
      <c r="X16" t="s">
        <v>349</v>
      </c>
      <c r="Y16" t="s">
        <v>128</v>
      </c>
      <c r="Z16" t="s">
        <v>148</v>
      </c>
      <c r="AA16" t="s">
        <v>649</v>
      </c>
    </row>
    <row r="17" spans="1:27">
      <c r="A17" t="s">
        <v>901</v>
      </c>
      <c r="B17" s="1">
        <v>41465</v>
      </c>
      <c r="C17" t="s">
        <v>111</v>
      </c>
      <c r="D17" t="s">
        <v>112</v>
      </c>
      <c r="E17" t="s">
        <v>113</v>
      </c>
      <c r="F17" t="s">
        <v>114</v>
      </c>
      <c r="G17" t="s">
        <v>115</v>
      </c>
      <c r="H17" t="s">
        <v>116</v>
      </c>
      <c r="I17" t="s">
        <v>902</v>
      </c>
      <c r="J17" t="s">
        <v>118</v>
      </c>
      <c r="K17" t="s">
        <v>119</v>
      </c>
      <c r="L17" t="s">
        <v>120</v>
      </c>
      <c r="M17" t="s">
        <v>121</v>
      </c>
      <c r="N17" t="s">
        <v>122</v>
      </c>
      <c r="P17" t="s">
        <v>65</v>
      </c>
      <c r="Q17" t="s">
        <v>353</v>
      </c>
      <c r="R17" t="s">
        <v>135</v>
      </c>
      <c r="S17" t="s">
        <v>248</v>
      </c>
      <c r="T17" t="s">
        <v>355</v>
      </c>
      <c r="U17" t="s">
        <v>127</v>
      </c>
      <c r="V17" t="s">
        <v>128</v>
      </c>
      <c r="W17" t="s">
        <v>648</v>
      </c>
      <c r="X17" t="s">
        <v>349</v>
      </c>
      <c r="Y17" t="s">
        <v>128</v>
      </c>
      <c r="Z17" t="s">
        <v>148</v>
      </c>
      <c r="AA17" t="s">
        <v>649</v>
      </c>
    </row>
    <row r="18" spans="1:27">
      <c r="A18" t="s">
        <v>903</v>
      </c>
      <c r="B18" s="1">
        <v>41465</v>
      </c>
      <c r="C18" t="s">
        <v>111</v>
      </c>
      <c r="D18" t="s">
        <v>112</v>
      </c>
      <c r="E18" t="s">
        <v>113</v>
      </c>
      <c r="F18" t="s">
        <v>114</v>
      </c>
      <c r="G18" t="s">
        <v>115</v>
      </c>
      <c r="H18" t="s">
        <v>116</v>
      </c>
      <c r="I18" t="s">
        <v>904</v>
      </c>
      <c r="J18" t="s">
        <v>118</v>
      </c>
      <c r="K18" t="s">
        <v>119</v>
      </c>
      <c r="L18" t="s">
        <v>120</v>
      </c>
      <c r="M18" t="s">
        <v>121</v>
      </c>
      <c r="N18" t="s">
        <v>122</v>
      </c>
      <c r="P18" t="s">
        <v>65</v>
      </c>
      <c r="Q18" t="s">
        <v>353</v>
      </c>
      <c r="R18" t="s">
        <v>135</v>
      </c>
      <c r="S18" t="s">
        <v>248</v>
      </c>
      <c r="T18" t="s">
        <v>355</v>
      </c>
      <c r="U18" t="s">
        <v>127</v>
      </c>
      <c r="V18" t="s">
        <v>128</v>
      </c>
      <c r="W18" t="s">
        <v>648</v>
      </c>
      <c r="X18" t="s">
        <v>349</v>
      </c>
      <c r="Y18" t="s">
        <v>128</v>
      </c>
      <c r="Z18" t="s">
        <v>148</v>
      </c>
      <c r="AA18" t="s">
        <v>649</v>
      </c>
    </row>
    <row r="19" spans="1:27">
      <c r="A19" t="s">
        <v>905</v>
      </c>
      <c r="B19" s="1">
        <v>41465</v>
      </c>
      <c r="C19" t="s">
        <v>111</v>
      </c>
      <c r="D19" t="s">
        <v>112</v>
      </c>
      <c r="E19" t="s">
        <v>113</v>
      </c>
      <c r="F19" t="s">
        <v>114</v>
      </c>
      <c r="G19" t="s">
        <v>115</v>
      </c>
      <c r="H19" t="s">
        <v>116</v>
      </c>
      <c r="I19" t="s">
        <v>906</v>
      </c>
      <c r="J19" t="s">
        <v>118</v>
      </c>
      <c r="K19" t="s">
        <v>119</v>
      </c>
      <c r="L19" t="s">
        <v>120</v>
      </c>
      <c r="M19" t="s">
        <v>121</v>
      </c>
      <c r="N19" t="s">
        <v>122</v>
      </c>
      <c r="P19" t="s">
        <v>65</v>
      </c>
      <c r="Q19" t="s">
        <v>353</v>
      </c>
      <c r="R19" t="s">
        <v>135</v>
      </c>
      <c r="S19" t="s">
        <v>248</v>
      </c>
      <c r="T19" t="s">
        <v>355</v>
      </c>
      <c r="U19" t="s">
        <v>127</v>
      </c>
      <c r="V19" t="s">
        <v>128</v>
      </c>
      <c r="W19" t="s">
        <v>648</v>
      </c>
      <c r="X19" t="s">
        <v>349</v>
      </c>
      <c r="Y19" t="s">
        <v>128</v>
      </c>
      <c r="Z19" t="s">
        <v>148</v>
      </c>
      <c r="AA19" t="s">
        <v>649</v>
      </c>
    </row>
    <row r="20" spans="1:27">
      <c r="A20" t="s">
        <v>907</v>
      </c>
      <c r="B20" s="1">
        <v>41465</v>
      </c>
      <c r="C20" t="s">
        <v>111</v>
      </c>
      <c r="D20" t="s">
        <v>112</v>
      </c>
      <c r="E20" t="s">
        <v>113</v>
      </c>
      <c r="F20" t="s">
        <v>114</v>
      </c>
      <c r="G20" t="s">
        <v>115</v>
      </c>
      <c r="H20" t="s">
        <v>116</v>
      </c>
      <c r="I20" t="s">
        <v>908</v>
      </c>
      <c r="J20" t="s">
        <v>118</v>
      </c>
      <c r="K20" t="s">
        <v>119</v>
      </c>
      <c r="L20" t="s">
        <v>120</v>
      </c>
      <c r="M20" t="s">
        <v>121</v>
      </c>
      <c r="N20" t="s">
        <v>122</v>
      </c>
      <c r="P20" t="s">
        <v>65</v>
      </c>
      <c r="Q20" t="s">
        <v>353</v>
      </c>
      <c r="R20" t="s">
        <v>135</v>
      </c>
      <c r="S20" t="s">
        <v>248</v>
      </c>
      <c r="T20" t="s">
        <v>355</v>
      </c>
      <c r="U20" t="s">
        <v>127</v>
      </c>
      <c r="V20" t="s">
        <v>128</v>
      </c>
      <c r="W20" t="s">
        <v>648</v>
      </c>
      <c r="X20" t="s">
        <v>349</v>
      </c>
      <c r="Y20" t="s">
        <v>128</v>
      </c>
      <c r="Z20" t="s">
        <v>148</v>
      </c>
      <c r="AA20" t="s">
        <v>649</v>
      </c>
    </row>
    <row r="21" spans="1:27">
      <c r="A21" t="s">
        <v>909</v>
      </c>
      <c r="B21" s="1">
        <v>41465</v>
      </c>
      <c r="C21" t="s">
        <v>111</v>
      </c>
      <c r="D21" t="s">
        <v>112</v>
      </c>
      <c r="E21" t="s">
        <v>113</v>
      </c>
      <c r="F21" t="s">
        <v>114</v>
      </c>
      <c r="G21" t="s">
        <v>115</v>
      </c>
      <c r="H21" t="s">
        <v>116</v>
      </c>
      <c r="I21" t="s">
        <v>910</v>
      </c>
      <c r="J21" t="s">
        <v>118</v>
      </c>
      <c r="K21" t="s">
        <v>119</v>
      </c>
      <c r="L21" t="s">
        <v>120</v>
      </c>
      <c r="M21" t="s">
        <v>121</v>
      </c>
      <c r="N21" t="s">
        <v>122</v>
      </c>
      <c r="P21" t="s">
        <v>53</v>
      </c>
      <c r="Q21" t="s">
        <v>309</v>
      </c>
      <c r="R21" t="s">
        <v>911</v>
      </c>
      <c r="S21" t="s">
        <v>264</v>
      </c>
      <c r="T21" t="s">
        <v>912</v>
      </c>
      <c r="U21" t="s">
        <v>127</v>
      </c>
      <c r="V21" t="s">
        <v>128</v>
      </c>
      <c r="W21" t="s">
        <v>913</v>
      </c>
      <c r="X21" t="s">
        <v>876</v>
      </c>
      <c r="Y21" t="s">
        <v>128</v>
      </c>
      <c r="Z21" t="s">
        <v>218</v>
      </c>
      <c r="AA21" t="s">
        <v>268</v>
      </c>
    </row>
    <row r="22" spans="1:27">
      <c r="A22" t="s">
        <v>914</v>
      </c>
      <c r="B22" s="1">
        <v>41465</v>
      </c>
      <c r="C22" t="s">
        <v>111</v>
      </c>
      <c r="D22" t="s">
        <v>112</v>
      </c>
      <c r="E22" t="s">
        <v>113</v>
      </c>
      <c r="F22" t="s">
        <v>114</v>
      </c>
      <c r="G22" t="s">
        <v>115</v>
      </c>
      <c r="H22" t="s">
        <v>116</v>
      </c>
      <c r="I22" t="s">
        <v>915</v>
      </c>
      <c r="J22" t="s">
        <v>118</v>
      </c>
      <c r="K22" t="s">
        <v>119</v>
      </c>
      <c r="L22" t="s">
        <v>120</v>
      </c>
      <c r="M22" t="s">
        <v>121</v>
      </c>
      <c r="N22" t="s">
        <v>122</v>
      </c>
      <c r="P22" t="s">
        <v>65</v>
      </c>
      <c r="Q22" t="s">
        <v>353</v>
      </c>
      <c r="R22" t="s">
        <v>135</v>
      </c>
      <c r="S22" t="s">
        <v>248</v>
      </c>
      <c r="T22" t="s">
        <v>355</v>
      </c>
      <c r="U22" t="s">
        <v>127</v>
      </c>
      <c r="V22" t="s">
        <v>128</v>
      </c>
      <c r="W22" t="s">
        <v>648</v>
      </c>
      <c r="X22" t="s">
        <v>349</v>
      </c>
      <c r="Y22" t="s">
        <v>128</v>
      </c>
      <c r="Z22" t="s">
        <v>148</v>
      </c>
      <c r="AA22" t="s">
        <v>649</v>
      </c>
    </row>
    <row r="23" spans="1:27">
      <c r="A23" t="s">
        <v>916</v>
      </c>
      <c r="B23" s="1">
        <v>41465</v>
      </c>
      <c r="C23" t="s">
        <v>111</v>
      </c>
      <c r="D23" t="s">
        <v>112</v>
      </c>
      <c r="E23" t="s">
        <v>113</v>
      </c>
      <c r="F23" t="s">
        <v>114</v>
      </c>
      <c r="G23" t="s">
        <v>115</v>
      </c>
      <c r="H23" t="s">
        <v>116</v>
      </c>
      <c r="I23" t="s">
        <v>917</v>
      </c>
      <c r="J23" t="s">
        <v>118</v>
      </c>
      <c r="K23" t="s">
        <v>119</v>
      </c>
      <c r="L23" t="s">
        <v>120</v>
      </c>
      <c r="M23" t="s">
        <v>121</v>
      </c>
      <c r="N23" t="s">
        <v>122</v>
      </c>
      <c r="P23" t="s">
        <v>65</v>
      </c>
      <c r="Q23" t="s">
        <v>353</v>
      </c>
      <c r="R23" t="s">
        <v>135</v>
      </c>
      <c r="S23" t="s">
        <v>248</v>
      </c>
      <c r="T23" t="s">
        <v>355</v>
      </c>
      <c r="U23" t="s">
        <v>127</v>
      </c>
      <c r="V23" t="s">
        <v>128</v>
      </c>
      <c r="W23" t="s">
        <v>648</v>
      </c>
      <c r="X23" t="s">
        <v>349</v>
      </c>
      <c r="Y23" t="s">
        <v>128</v>
      </c>
      <c r="Z23" t="s">
        <v>148</v>
      </c>
      <c r="AA23" t="s">
        <v>649</v>
      </c>
    </row>
    <row r="24" spans="1:27">
      <c r="A24" t="s">
        <v>918</v>
      </c>
      <c r="B24" s="1">
        <v>41465</v>
      </c>
      <c r="C24" t="s">
        <v>111</v>
      </c>
      <c r="D24" t="s">
        <v>112</v>
      </c>
      <c r="E24" t="s">
        <v>113</v>
      </c>
      <c r="F24" t="s">
        <v>114</v>
      </c>
      <c r="G24" t="s">
        <v>115</v>
      </c>
      <c r="H24" t="s">
        <v>116</v>
      </c>
      <c r="I24" t="s">
        <v>919</v>
      </c>
      <c r="J24" t="s">
        <v>118</v>
      </c>
      <c r="K24" t="s">
        <v>119</v>
      </c>
      <c r="L24" t="s">
        <v>120</v>
      </c>
      <c r="M24" t="s">
        <v>121</v>
      </c>
      <c r="N24" t="s">
        <v>122</v>
      </c>
      <c r="P24" t="s">
        <v>65</v>
      </c>
      <c r="Q24" t="s">
        <v>353</v>
      </c>
      <c r="R24" t="s">
        <v>135</v>
      </c>
      <c r="S24" t="s">
        <v>248</v>
      </c>
      <c r="T24" t="s">
        <v>355</v>
      </c>
      <c r="U24" t="s">
        <v>127</v>
      </c>
      <c r="V24" t="s">
        <v>128</v>
      </c>
      <c r="W24" t="s">
        <v>648</v>
      </c>
      <c r="X24" t="s">
        <v>349</v>
      </c>
      <c r="Y24" t="s">
        <v>128</v>
      </c>
      <c r="Z24" t="s">
        <v>148</v>
      </c>
      <c r="AA24" t="s">
        <v>649</v>
      </c>
    </row>
    <row r="25" spans="1:27">
      <c r="A25" t="s">
        <v>920</v>
      </c>
      <c r="B25" s="1">
        <v>41465</v>
      </c>
      <c r="C25" t="s">
        <v>111</v>
      </c>
      <c r="D25" t="s">
        <v>112</v>
      </c>
      <c r="E25" t="s">
        <v>113</v>
      </c>
      <c r="F25" t="s">
        <v>114</v>
      </c>
      <c r="G25" t="s">
        <v>115</v>
      </c>
      <c r="H25" t="s">
        <v>116</v>
      </c>
      <c r="I25" t="s">
        <v>921</v>
      </c>
      <c r="J25" t="s">
        <v>118</v>
      </c>
      <c r="K25" t="s">
        <v>119</v>
      </c>
      <c r="L25" t="s">
        <v>120</v>
      </c>
      <c r="M25" t="s">
        <v>121</v>
      </c>
      <c r="N25" t="s">
        <v>122</v>
      </c>
      <c r="P25" t="s">
        <v>65</v>
      </c>
      <c r="Q25" t="s">
        <v>353</v>
      </c>
      <c r="R25" t="s">
        <v>135</v>
      </c>
      <c r="S25" t="s">
        <v>248</v>
      </c>
      <c r="T25" t="s">
        <v>355</v>
      </c>
      <c r="U25" t="s">
        <v>127</v>
      </c>
      <c r="V25" t="s">
        <v>128</v>
      </c>
      <c r="W25" t="s">
        <v>648</v>
      </c>
      <c r="X25" t="s">
        <v>349</v>
      </c>
      <c r="Y25" t="s">
        <v>128</v>
      </c>
      <c r="Z25" t="s">
        <v>148</v>
      </c>
      <c r="AA25" t="s">
        <v>649</v>
      </c>
    </row>
    <row r="26" spans="1:27">
      <c r="A26" t="s">
        <v>922</v>
      </c>
      <c r="B26" s="1">
        <v>41465</v>
      </c>
      <c r="C26" t="s">
        <v>111</v>
      </c>
      <c r="D26" t="s">
        <v>112</v>
      </c>
      <c r="E26" t="s">
        <v>113</v>
      </c>
      <c r="F26" t="s">
        <v>114</v>
      </c>
      <c r="G26" t="s">
        <v>115</v>
      </c>
      <c r="H26" t="s">
        <v>116</v>
      </c>
      <c r="I26" t="s">
        <v>923</v>
      </c>
      <c r="J26" t="s">
        <v>118</v>
      </c>
      <c r="K26" t="s">
        <v>119</v>
      </c>
      <c r="L26" t="s">
        <v>120</v>
      </c>
      <c r="M26" t="s">
        <v>121</v>
      </c>
      <c r="N26" t="s">
        <v>122</v>
      </c>
      <c r="P26" t="s">
        <v>65</v>
      </c>
      <c r="Q26" t="s">
        <v>353</v>
      </c>
      <c r="R26" t="s">
        <v>135</v>
      </c>
      <c r="S26" t="s">
        <v>248</v>
      </c>
      <c r="T26" t="s">
        <v>355</v>
      </c>
      <c r="U26" t="s">
        <v>127</v>
      </c>
      <c r="V26" t="s">
        <v>128</v>
      </c>
      <c r="W26" t="s">
        <v>648</v>
      </c>
      <c r="X26" t="s">
        <v>349</v>
      </c>
      <c r="Y26" t="s">
        <v>128</v>
      </c>
      <c r="Z26" t="s">
        <v>148</v>
      </c>
      <c r="AA26" t="s">
        <v>649</v>
      </c>
    </row>
    <row r="27" spans="1:27">
      <c r="A27" t="s">
        <v>924</v>
      </c>
      <c r="B27" s="1">
        <v>41465</v>
      </c>
      <c r="C27" t="s">
        <v>111</v>
      </c>
      <c r="D27" t="s">
        <v>112</v>
      </c>
      <c r="E27" t="s">
        <v>113</v>
      </c>
      <c r="F27" t="s">
        <v>114</v>
      </c>
      <c r="G27" t="s">
        <v>115</v>
      </c>
      <c r="H27" t="s">
        <v>116</v>
      </c>
      <c r="I27" t="s">
        <v>925</v>
      </c>
      <c r="J27" t="s">
        <v>118</v>
      </c>
      <c r="K27" t="s">
        <v>119</v>
      </c>
      <c r="L27" t="s">
        <v>120</v>
      </c>
      <c r="M27" t="s">
        <v>121</v>
      </c>
      <c r="N27" t="s">
        <v>122</v>
      </c>
      <c r="P27" t="s">
        <v>52</v>
      </c>
      <c r="Q27" t="s">
        <v>658</v>
      </c>
      <c r="R27" t="s">
        <v>926</v>
      </c>
      <c r="S27" t="s">
        <v>143</v>
      </c>
      <c r="T27" t="s">
        <v>927</v>
      </c>
      <c r="U27" t="s">
        <v>127</v>
      </c>
      <c r="V27" t="s">
        <v>170</v>
      </c>
      <c r="W27" t="s">
        <v>928</v>
      </c>
      <c r="X27" t="s">
        <v>876</v>
      </c>
      <c r="Y27" t="s">
        <v>170</v>
      </c>
      <c r="Z27" t="s">
        <v>152</v>
      </c>
      <c r="AA27" t="s">
        <v>138</v>
      </c>
    </row>
    <row r="28" spans="1:27">
      <c r="A28" t="s">
        <v>929</v>
      </c>
      <c r="B28" s="1">
        <v>41465</v>
      </c>
      <c r="C28" t="s">
        <v>111</v>
      </c>
      <c r="D28" t="s">
        <v>112</v>
      </c>
      <c r="E28" t="s">
        <v>113</v>
      </c>
      <c r="F28" t="s">
        <v>114</v>
      </c>
      <c r="G28" t="s">
        <v>115</v>
      </c>
      <c r="H28" t="s">
        <v>116</v>
      </c>
      <c r="I28" t="s">
        <v>930</v>
      </c>
      <c r="J28" t="s">
        <v>118</v>
      </c>
      <c r="K28" t="s">
        <v>119</v>
      </c>
      <c r="L28" t="s">
        <v>120</v>
      </c>
      <c r="M28" t="s">
        <v>121</v>
      </c>
      <c r="N28" t="s">
        <v>122</v>
      </c>
      <c r="P28" t="s">
        <v>65</v>
      </c>
      <c r="Q28" t="s">
        <v>353</v>
      </c>
      <c r="R28" t="s">
        <v>135</v>
      </c>
      <c r="S28" t="s">
        <v>248</v>
      </c>
      <c r="T28" t="s">
        <v>355</v>
      </c>
      <c r="U28" t="s">
        <v>127</v>
      </c>
      <c r="V28" t="s">
        <v>128</v>
      </c>
      <c r="W28" t="s">
        <v>648</v>
      </c>
      <c r="X28" t="s">
        <v>349</v>
      </c>
      <c r="Y28" t="s">
        <v>128</v>
      </c>
      <c r="Z28" t="s">
        <v>148</v>
      </c>
      <c r="AA28" t="s">
        <v>649</v>
      </c>
    </row>
    <row r="29" spans="1:27">
      <c r="A29" t="s">
        <v>931</v>
      </c>
      <c r="B29" s="1">
        <v>41465</v>
      </c>
      <c r="C29" t="s">
        <v>111</v>
      </c>
      <c r="D29" t="s">
        <v>112</v>
      </c>
      <c r="E29" t="s">
        <v>113</v>
      </c>
      <c r="F29" t="s">
        <v>114</v>
      </c>
      <c r="G29" t="s">
        <v>115</v>
      </c>
      <c r="H29" t="s">
        <v>116</v>
      </c>
      <c r="I29" t="s">
        <v>932</v>
      </c>
      <c r="J29" t="s">
        <v>118</v>
      </c>
      <c r="K29" t="s">
        <v>119</v>
      </c>
      <c r="L29" t="s">
        <v>120</v>
      </c>
      <c r="M29" t="s">
        <v>121</v>
      </c>
      <c r="N29" t="s">
        <v>122</v>
      </c>
      <c r="P29" t="s">
        <v>54</v>
      </c>
      <c r="Q29" t="s">
        <v>178</v>
      </c>
      <c r="R29" t="s">
        <v>135</v>
      </c>
      <c r="S29" t="s">
        <v>143</v>
      </c>
      <c r="T29" t="s">
        <v>933</v>
      </c>
      <c r="U29" t="s">
        <v>127</v>
      </c>
      <c r="V29" t="s">
        <v>128</v>
      </c>
      <c r="W29" t="s">
        <v>934</v>
      </c>
      <c r="X29" t="s">
        <v>876</v>
      </c>
      <c r="Y29" t="s">
        <v>128</v>
      </c>
      <c r="Z29" t="s">
        <v>218</v>
      </c>
      <c r="AA29" t="s">
        <v>852</v>
      </c>
    </row>
    <row r="30" spans="1:27">
      <c r="A30" t="s">
        <v>935</v>
      </c>
      <c r="B30" s="1">
        <v>41465</v>
      </c>
      <c r="C30" t="s">
        <v>111</v>
      </c>
      <c r="D30" t="s">
        <v>112</v>
      </c>
      <c r="E30" t="s">
        <v>113</v>
      </c>
      <c r="F30" t="s">
        <v>114</v>
      </c>
      <c r="G30" t="s">
        <v>115</v>
      </c>
      <c r="H30" t="s">
        <v>116</v>
      </c>
      <c r="I30" t="s">
        <v>936</v>
      </c>
      <c r="J30" t="s">
        <v>118</v>
      </c>
      <c r="K30" t="s">
        <v>119</v>
      </c>
      <c r="L30" t="s">
        <v>120</v>
      </c>
      <c r="M30" t="s">
        <v>121</v>
      </c>
      <c r="N30" t="s">
        <v>122</v>
      </c>
      <c r="P30" t="s">
        <v>65</v>
      </c>
      <c r="Q30" t="s">
        <v>353</v>
      </c>
      <c r="R30" t="s">
        <v>135</v>
      </c>
      <c r="S30" t="s">
        <v>248</v>
      </c>
      <c r="T30" t="s">
        <v>355</v>
      </c>
      <c r="U30" t="s">
        <v>127</v>
      </c>
      <c r="V30" t="s">
        <v>128</v>
      </c>
      <c r="W30" t="s">
        <v>648</v>
      </c>
      <c r="X30" t="s">
        <v>349</v>
      </c>
      <c r="Y30" t="s">
        <v>128</v>
      </c>
      <c r="Z30" t="s">
        <v>148</v>
      </c>
      <c r="AA30" t="s">
        <v>649</v>
      </c>
    </row>
    <row r="31" spans="1:27">
      <c r="A31" t="s">
        <v>937</v>
      </c>
      <c r="B31" s="1">
        <v>41465</v>
      </c>
      <c r="C31" t="s">
        <v>111</v>
      </c>
      <c r="D31" t="s">
        <v>112</v>
      </c>
      <c r="E31" t="s">
        <v>113</v>
      </c>
      <c r="F31" t="s">
        <v>114</v>
      </c>
      <c r="G31" t="s">
        <v>115</v>
      </c>
      <c r="H31" t="s">
        <v>116</v>
      </c>
      <c r="I31" t="s">
        <v>938</v>
      </c>
      <c r="J31" t="s">
        <v>118</v>
      </c>
      <c r="K31" t="s">
        <v>119</v>
      </c>
      <c r="L31" t="s">
        <v>120</v>
      </c>
      <c r="M31" t="s">
        <v>121</v>
      </c>
      <c r="N31" t="s">
        <v>122</v>
      </c>
      <c r="P31" t="s">
        <v>65</v>
      </c>
      <c r="Q31" t="s">
        <v>353</v>
      </c>
      <c r="R31" t="s">
        <v>135</v>
      </c>
      <c r="S31" t="s">
        <v>248</v>
      </c>
      <c r="T31" t="s">
        <v>355</v>
      </c>
      <c r="U31" t="s">
        <v>127</v>
      </c>
      <c r="V31" t="s">
        <v>128</v>
      </c>
      <c r="W31" t="s">
        <v>648</v>
      </c>
      <c r="X31" t="s">
        <v>349</v>
      </c>
      <c r="Y31" t="s">
        <v>128</v>
      </c>
      <c r="Z31" t="s">
        <v>148</v>
      </c>
      <c r="AA31" t="s">
        <v>649</v>
      </c>
    </row>
    <row r="32" spans="1:27">
      <c r="A32" t="s">
        <v>939</v>
      </c>
      <c r="B32" s="1">
        <v>41465</v>
      </c>
      <c r="C32" t="s">
        <v>111</v>
      </c>
      <c r="D32" t="s">
        <v>112</v>
      </c>
      <c r="E32" t="s">
        <v>113</v>
      </c>
      <c r="F32" t="s">
        <v>114</v>
      </c>
      <c r="G32" t="s">
        <v>115</v>
      </c>
      <c r="H32" t="s">
        <v>116</v>
      </c>
      <c r="I32" t="s">
        <v>940</v>
      </c>
      <c r="J32" t="s">
        <v>118</v>
      </c>
      <c r="K32" t="s">
        <v>119</v>
      </c>
      <c r="L32" t="s">
        <v>120</v>
      </c>
      <c r="M32" t="s">
        <v>121</v>
      </c>
      <c r="N32" t="s">
        <v>122</v>
      </c>
      <c r="P32" t="s">
        <v>53</v>
      </c>
      <c r="Q32" t="s">
        <v>277</v>
      </c>
      <c r="R32" t="s">
        <v>135</v>
      </c>
      <c r="S32" t="s">
        <v>200</v>
      </c>
      <c r="T32" t="s">
        <v>941</v>
      </c>
      <c r="U32" t="s">
        <v>155</v>
      </c>
      <c r="V32" t="s">
        <v>128</v>
      </c>
      <c r="W32" t="s">
        <v>942</v>
      </c>
      <c r="X32" t="s">
        <v>625</v>
      </c>
      <c r="Y32" t="s">
        <v>128</v>
      </c>
      <c r="Z32" t="s">
        <v>943</v>
      </c>
      <c r="AA32" t="s">
        <v>209</v>
      </c>
    </row>
    <row r="33" spans="1:27">
      <c r="A33" t="s">
        <v>944</v>
      </c>
      <c r="B33" s="1">
        <v>41465</v>
      </c>
      <c r="C33" t="s">
        <v>111</v>
      </c>
      <c r="D33" t="s">
        <v>112</v>
      </c>
      <c r="E33" t="s">
        <v>113</v>
      </c>
      <c r="F33" t="s">
        <v>114</v>
      </c>
      <c r="G33" t="s">
        <v>115</v>
      </c>
      <c r="H33" t="s">
        <v>116</v>
      </c>
      <c r="I33" t="s">
        <v>945</v>
      </c>
      <c r="J33" t="s">
        <v>118</v>
      </c>
      <c r="K33" t="s">
        <v>119</v>
      </c>
      <c r="L33" t="s">
        <v>120</v>
      </c>
      <c r="M33" t="s">
        <v>121</v>
      </c>
      <c r="N33" t="s">
        <v>122</v>
      </c>
      <c r="P33" t="s">
        <v>65</v>
      </c>
      <c r="Q33" t="s">
        <v>353</v>
      </c>
      <c r="R33" t="s">
        <v>135</v>
      </c>
      <c r="S33" t="s">
        <v>248</v>
      </c>
      <c r="T33" t="s">
        <v>355</v>
      </c>
      <c r="U33" t="s">
        <v>127</v>
      </c>
      <c r="V33" t="s">
        <v>128</v>
      </c>
      <c r="W33" t="s">
        <v>648</v>
      </c>
      <c r="X33" t="s">
        <v>349</v>
      </c>
      <c r="Y33" t="s">
        <v>128</v>
      </c>
      <c r="Z33" t="s">
        <v>148</v>
      </c>
      <c r="AA33" t="s">
        <v>649</v>
      </c>
    </row>
    <row r="34" spans="1:27">
      <c r="A34" t="s">
        <v>946</v>
      </c>
      <c r="B34" s="1">
        <v>41465</v>
      </c>
      <c r="C34" t="s">
        <v>111</v>
      </c>
      <c r="D34" t="s">
        <v>112</v>
      </c>
      <c r="E34" t="s">
        <v>113</v>
      </c>
      <c r="F34" t="s">
        <v>114</v>
      </c>
      <c r="G34" t="s">
        <v>115</v>
      </c>
      <c r="H34" t="s">
        <v>116</v>
      </c>
      <c r="I34" t="s">
        <v>947</v>
      </c>
      <c r="J34" t="s">
        <v>118</v>
      </c>
      <c r="K34" t="s">
        <v>119</v>
      </c>
      <c r="L34" t="s">
        <v>120</v>
      </c>
      <c r="M34" t="s">
        <v>121</v>
      </c>
      <c r="N34" t="s">
        <v>122</v>
      </c>
      <c r="P34" t="s">
        <v>65</v>
      </c>
      <c r="Q34" t="s">
        <v>353</v>
      </c>
      <c r="R34" t="s">
        <v>135</v>
      </c>
      <c r="S34" t="s">
        <v>248</v>
      </c>
      <c r="T34" t="s">
        <v>355</v>
      </c>
      <c r="U34" t="s">
        <v>127</v>
      </c>
      <c r="V34" t="s">
        <v>128</v>
      </c>
      <c r="W34" t="s">
        <v>648</v>
      </c>
      <c r="X34" t="s">
        <v>349</v>
      </c>
      <c r="Y34" t="s">
        <v>128</v>
      </c>
      <c r="Z34" t="s">
        <v>148</v>
      </c>
      <c r="AA34" t="s">
        <v>649</v>
      </c>
    </row>
    <row r="35" spans="1:27">
      <c r="A35" t="s">
        <v>948</v>
      </c>
      <c r="B35" s="1">
        <v>41465</v>
      </c>
      <c r="C35" t="s">
        <v>111</v>
      </c>
      <c r="D35" t="s">
        <v>112</v>
      </c>
      <c r="E35" t="s">
        <v>113</v>
      </c>
      <c r="F35" t="s">
        <v>114</v>
      </c>
      <c r="G35" t="s">
        <v>115</v>
      </c>
      <c r="H35" t="s">
        <v>116</v>
      </c>
      <c r="I35" t="s">
        <v>949</v>
      </c>
      <c r="J35" t="s">
        <v>118</v>
      </c>
      <c r="K35" t="s">
        <v>119</v>
      </c>
      <c r="L35" t="s">
        <v>120</v>
      </c>
      <c r="M35" t="s">
        <v>121</v>
      </c>
      <c r="N35" t="s">
        <v>122</v>
      </c>
      <c r="P35" t="s">
        <v>65</v>
      </c>
      <c r="Q35" t="s">
        <v>353</v>
      </c>
      <c r="R35" t="s">
        <v>135</v>
      </c>
      <c r="S35" t="s">
        <v>248</v>
      </c>
      <c r="T35" t="s">
        <v>355</v>
      </c>
      <c r="U35" t="s">
        <v>127</v>
      </c>
      <c r="V35" t="s">
        <v>128</v>
      </c>
      <c r="W35" t="s">
        <v>648</v>
      </c>
      <c r="X35" t="s">
        <v>349</v>
      </c>
      <c r="Y35" t="s">
        <v>128</v>
      </c>
      <c r="Z35" t="s">
        <v>148</v>
      </c>
      <c r="AA35" t="s">
        <v>649</v>
      </c>
    </row>
    <row r="36" spans="1:27">
      <c r="A36" t="s">
        <v>950</v>
      </c>
      <c r="B36" s="1">
        <v>41465</v>
      </c>
      <c r="C36" t="s">
        <v>111</v>
      </c>
      <c r="D36" t="s">
        <v>112</v>
      </c>
      <c r="E36" t="s">
        <v>113</v>
      </c>
      <c r="F36" t="s">
        <v>114</v>
      </c>
      <c r="G36" t="s">
        <v>115</v>
      </c>
      <c r="H36" t="s">
        <v>116</v>
      </c>
      <c r="I36" t="s">
        <v>951</v>
      </c>
      <c r="J36" t="s">
        <v>118</v>
      </c>
      <c r="K36" t="s">
        <v>119</v>
      </c>
      <c r="L36" t="s">
        <v>120</v>
      </c>
      <c r="M36" t="s">
        <v>121</v>
      </c>
      <c r="N36" t="s">
        <v>122</v>
      </c>
      <c r="P36" t="s">
        <v>65</v>
      </c>
      <c r="Q36" t="s">
        <v>353</v>
      </c>
      <c r="R36" t="s">
        <v>135</v>
      </c>
      <c r="S36" t="s">
        <v>248</v>
      </c>
      <c r="T36" t="s">
        <v>355</v>
      </c>
      <c r="U36" t="s">
        <v>127</v>
      </c>
      <c r="V36" t="s">
        <v>128</v>
      </c>
      <c r="W36" t="s">
        <v>648</v>
      </c>
      <c r="X36" t="s">
        <v>349</v>
      </c>
      <c r="Y36" t="s">
        <v>128</v>
      </c>
      <c r="Z36" t="s">
        <v>148</v>
      </c>
      <c r="AA36" t="s">
        <v>649</v>
      </c>
    </row>
    <row r="37" spans="1:27">
      <c r="A37" t="s">
        <v>952</v>
      </c>
      <c r="B37" s="1">
        <v>41465</v>
      </c>
      <c r="C37" t="s">
        <v>111</v>
      </c>
      <c r="D37" t="s">
        <v>112</v>
      </c>
      <c r="E37" t="s">
        <v>113</v>
      </c>
      <c r="F37" t="s">
        <v>114</v>
      </c>
      <c r="G37" t="s">
        <v>115</v>
      </c>
      <c r="H37" t="s">
        <v>116</v>
      </c>
      <c r="I37" t="s">
        <v>953</v>
      </c>
      <c r="J37" t="s">
        <v>118</v>
      </c>
      <c r="K37" t="s">
        <v>119</v>
      </c>
      <c r="L37" t="s">
        <v>120</v>
      </c>
      <c r="M37" t="s">
        <v>121</v>
      </c>
      <c r="N37" t="s">
        <v>122</v>
      </c>
      <c r="P37" t="s">
        <v>65</v>
      </c>
      <c r="Q37" t="s">
        <v>353</v>
      </c>
      <c r="R37" t="s">
        <v>135</v>
      </c>
      <c r="S37" t="s">
        <v>248</v>
      </c>
      <c r="T37" t="s">
        <v>355</v>
      </c>
      <c r="U37" t="s">
        <v>127</v>
      </c>
      <c r="V37" t="s">
        <v>128</v>
      </c>
      <c r="W37" t="s">
        <v>648</v>
      </c>
      <c r="X37" t="s">
        <v>349</v>
      </c>
      <c r="Y37" t="s">
        <v>128</v>
      </c>
      <c r="Z37" t="s">
        <v>148</v>
      </c>
      <c r="AA37" t="s">
        <v>649</v>
      </c>
    </row>
    <row r="38" spans="1:27">
      <c r="A38" t="s">
        <v>954</v>
      </c>
      <c r="B38" s="1">
        <v>41465</v>
      </c>
      <c r="C38" t="s">
        <v>111</v>
      </c>
      <c r="D38" t="s">
        <v>112</v>
      </c>
      <c r="E38" t="s">
        <v>113</v>
      </c>
      <c r="F38" t="s">
        <v>114</v>
      </c>
      <c r="G38" t="s">
        <v>115</v>
      </c>
      <c r="H38" t="s">
        <v>116</v>
      </c>
      <c r="I38" t="s">
        <v>955</v>
      </c>
      <c r="J38" t="s">
        <v>118</v>
      </c>
      <c r="K38" t="s">
        <v>119</v>
      </c>
      <c r="L38" t="s">
        <v>120</v>
      </c>
      <c r="M38" t="s">
        <v>121</v>
      </c>
      <c r="N38" t="s">
        <v>122</v>
      </c>
      <c r="P38" t="s">
        <v>65</v>
      </c>
      <c r="Q38" t="s">
        <v>353</v>
      </c>
      <c r="R38" t="s">
        <v>135</v>
      </c>
      <c r="S38" t="s">
        <v>248</v>
      </c>
      <c r="T38" t="s">
        <v>355</v>
      </c>
      <c r="U38" t="s">
        <v>127</v>
      </c>
      <c r="V38" t="s">
        <v>128</v>
      </c>
      <c r="W38" t="s">
        <v>648</v>
      </c>
      <c r="X38" t="s">
        <v>349</v>
      </c>
      <c r="Y38" t="s">
        <v>128</v>
      </c>
      <c r="Z38" t="s">
        <v>148</v>
      </c>
      <c r="AA38" t="s">
        <v>649</v>
      </c>
    </row>
    <row r="39" spans="1:27">
      <c r="A39" t="s">
        <v>956</v>
      </c>
      <c r="B39" s="1">
        <v>41465</v>
      </c>
      <c r="C39" t="s">
        <v>111</v>
      </c>
      <c r="D39" t="s">
        <v>112</v>
      </c>
      <c r="E39" t="s">
        <v>113</v>
      </c>
      <c r="F39" t="s">
        <v>114</v>
      </c>
      <c r="G39" t="s">
        <v>115</v>
      </c>
      <c r="H39" t="s">
        <v>116</v>
      </c>
      <c r="I39" t="s">
        <v>957</v>
      </c>
      <c r="J39" t="s">
        <v>118</v>
      </c>
      <c r="K39" t="s">
        <v>119</v>
      </c>
      <c r="L39" t="s">
        <v>120</v>
      </c>
      <c r="M39" t="s">
        <v>121</v>
      </c>
      <c r="N39" t="s">
        <v>122</v>
      </c>
      <c r="P39" t="s">
        <v>65</v>
      </c>
      <c r="Q39" t="s">
        <v>353</v>
      </c>
      <c r="R39" t="s">
        <v>135</v>
      </c>
      <c r="S39" t="s">
        <v>248</v>
      </c>
      <c r="T39" t="s">
        <v>355</v>
      </c>
      <c r="U39" t="s">
        <v>127</v>
      </c>
      <c r="V39" t="s">
        <v>128</v>
      </c>
      <c r="W39" t="s">
        <v>648</v>
      </c>
      <c r="X39" t="s">
        <v>349</v>
      </c>
      <c r="Y39" t="s">
        <v>128</v>
      </c>
      <c r="Z39" t="s">
        <v>148</v>
      </c>
      <c r="AA39" t="s">
        <v>649</v>
      </c>
    </row>
    <row r="40" spans="1:27">
      <c r="A40" t="s">
        <v>958</v>
      </c>
      <c r="B40" s="1">
        <v>41465</v>
      </c>
      <c r="C40" t="s">
        <v>111</v>
      </c>
      <c r="D40" t="s">
        <v>112</v>
      </c>
      <c r="E40" t="s">
        <v>113</v>
      </c>
      <c r="F40" t="s">
        <v>114</v>
      </c>
      <c r="G40" t="s">
        <v>115</v>
      </c>
      <c r="H40" t="s">
        <v>116</v>
      </c>
      <c r="I40" t="s">
        <v>959</v>
      </c>
      <c r="J40" t="s">
        <v>118</v>
      </c>
      <c r="K40" t="s">
        <v>119</v>
      </c>
      <c r="L40" t="s">
        <v>120</v>
      </c>
      <c r="M40" t="s">
        <v>121</v>
      </c>
      <c r="N40" t="s">
        <v>122</v>
      </c>
      <c r="P40" t="s">
        <v>65</v>
      </c>
      <c r="Q40" t="s">
        <v>353</v>
      </c>
      <c r="R40" t="s">
        <v>135</v>
      </c>
      <c r="S40" t="s">
        <v>248</v>
      </c>
      <c r="T40" t="s">
        <v>355</v>
      </c>
      <c r="U40" t="s">
        <v>127</v>
      </c>
      <c r="V40" t="s">
        <v>128</v>
      </c>
      <c r="W40" t="s">
        <v>648</v>
      </c>
      <c r="X40" t="s">
        <v>349</v>
      </c>
      <c r="Y40" t="s">
        <v>128</v>
      </c>
      <c r="Z40" t="s">
        <v>148</v>
      </c>
      <c r="AA40" t="s">
        <v>649</v>
      </c>
    </row>
    <row r="41" spans="1:27">
      <c r="A41" t="s">
        <v>960</v>
      </c>
      <c r="B41" s="1">
        <v>41465</v>
      </c>
      <c r="C41" t="s">
        <v>111</v>
      </c>
      <c r="D41" t="s">
        <v>112</v>
      </c>
      <c r="E41" t="s">
        <v>113</v>
      </c>
      <c r="F41" t="s">
        <v>114</v>
      </c>
      <c r="G41" t="s">
        <v>115</v>
      </c>
      <c r="H41" t="s">
        <v>116</v>
      </c>
      <c r="I41" t="s">
        <v>961</v>
      </c>
      <c r="J41" t="s">
        <v>118</v>
      </c>
      <c r="K41" t="s">
        <v>119</v>
      </c>
      <c r="L41" t="s">
        <v>120</v>
      </c>
      <c r="M41" t="s">
        <v>121</v>
      </c>
      <c r="N41" t="s">
        <v>122</v>
      </c>
      <c r="P41" t="s">
        <v>65</v>
      </c>
      <c r="Q41" t="s">
        <v>353</v>
      </c>
      <c r="R41" t="s">
        <v>135</v>
      </c>
      <c r="S41" t="s">
        <v>248</v>
      </c>
      <c r="T41" t="s">
        <v>355</v>
      </c>
      <c r="U41" t="s">
        <v>127</v>
      </c>
      <c r="V41" t="s">
        <v>128</v>
      </c>
      <c r="W41" t="s">
        <v>648</v>
      </c>
      <c r="X41" t="s">
        <v>349</v>
      </c>
      <c r="Y41" t="s">
        <v>128</v>
      </c>
      <c r="Z41" t="s">
        <v>148</v>
      </c>
      <c r="AA41" t="s">
        <v>649</v>
      </c>
    </row>
    <row r="42" spans="1:27">
      <c r="A42" t="s">
        <v>962</v>
      </c>
      <c r="B42" s="1">
        <v>41465</v>
      </c>
      <c r="C42" t="s">
        <v>111</v>
      </c>
      <c r="D42" t="s">
        <v>112</v>
      </c>
      <c r="E42" t="s">
        <v>113</v>
      </c>
      <c r="F42" t="s">
        <v>114</v>
      </c>
      <c r="G42" t="s">
        <v>115</v>
      </c>
      <c r="H42" t="s">
        <v>116</v>
      </c>
      <c r="I42" t="s">
        <v>963</v>
      </c>
      <c r="J42" t="s">
        <v>118</v>
      </c>
      <c r="K42" t="s">
        <v>119</v>
      </c>
      <c r="L42" t="s">
        <v>120</v>
      </c>
      <c r="M42" t="s">
        <v>121</v>
      </c>
      <c r="N42" t="s">
        <v>122</v>
      </c>
      <c r="P42" t="s">
        <v>65</v>
      </c>
      <c r="Q42" t="s">
        <v>353</v>
      </c>
      <c r="R42" t="s">
        <v>135</v>
      </c>
      <c r="S42" t="s">
        <v>248</v>
      </c>
      <c r="T42" t="s">
        <v>355</v>
      </c>
      <c r="U42" t="s">
        <v>127</v>
      </c>
      <c r="V42" t="s">
        <v>128</v>
      </c>
      <c r="W42" t="s">
        <v>648</v>
      </c>
      <c r="X42" t="s">
        <v>349</v>
      </c>
      <c r="Y42" t="s">
        <v>128</v>
      </c>
      <c r="Z42" t="s">
        <v>148</v>
      </c>
      <c r="AA42" t="s">
        <v>649</v>
      </c>
    </row>
    <row r="43" spans="1:27">
      <c r="A43" t="s">
        <v>964</v>
      </c>
      <c r="B43" s="1">
        <v>41465</v>
      </c>
      <c r="C43" t="s">
        <v>111</v>
      </c>
      <c r="D43" t="s">
        <v>112</v>
      </c>
      <c r="E43" t="s">
        <v>113</v>
      </c>
      <c r="F43" t="s">
        <v>114</v>
      </c>
      <c r="G43" t="s">
        <v>115</v>
      </c>
      <c r="H43" t="s">
        <v>116</v>
      </c>
      <c r="I43" t="s">
        <v>965</v>
      </c>
      <c r="J43" t="s">
        <v>118</v>
      </c>
      <c r="K43" t="s">
        <v>119</v>
      </c>
      <c r="L43" t="s">
        <v>120</v>
      </c>
      <c r="M43" t="s">
        <v>121</v>
      </c>
      <c r="N43" t="s">
        <v>122</v>
      </c>
      <c r="P43" t="s">
        <v>65</v>
      </c>
      <c r="Q43" t="s">
        <v>353</v>
      </c>
      <c r="R43" t="s">
        <v>135</v>
      </c>
      <c r="S43" t="s">
        <v>248</v>
      </c>
      <c r="T43" t="s">
        <v>355</v>
      </c>
      <c r="U43" t="s">
        <v>127</v>
      </c>
      <c r="V43" t="s">
        <v>128</v>
      </c>
      <c r="W43" t="s">
        <v>648</v>
      </c>
      <c r="X43" t="s">
        <v>349</v>
      </c>
      <c r="Y43" t="s">
        <v>128</v>
      </c>
      <c r="Z43" t="s">
        <v>148</v>
      </c>
      <c r="AA43" t="s">
        <v>649</v>
      </c>
    </row>
    <row r="44" spans="1:27">
      <c r="A44" t="s">
        <v>966</v>
      </c>
      <c r="B44" s="1">
        <v>41465</v>
      </c>
      <c r="C44" t="s">
        <v>111</v>
      </c>
      <c r="D44" t="s">
        <v>112</v>
      </c>
      <c r="E44" t="s">
        <v>113</v>
      </c>
      <c r="F44" t="s">
        <v>114</v>
      </c>
      <c r="G44" t="s">
        <v>115</v>
      </c>
      <c r="H44" t="s">
        <v>116</v>
      </c>
      <c r="I44" t="s">
        <v>967</v>
      </c>
      <c r="J44" t="s">
        <v>118</v>
      </c>
      <c r="K44" t="s">
        <v>119</v>
      </c>
      <c r="L44" t="s">
        <v>120</v>
      </c>
      <c r="M44" t="s">
        <v>121</v>
      </c>
      <c r="N44" t="s">
        <v>122</v>
      </c>
      <c r="P44" t="s">
        <v>65</v>
      </c>
      <c r="Q44" t="s">
        <v>353</v>
      </c>
      <c r="R44" t="s">
        <v>135</v>
      </c>
      <c r="S44" t="s">
        <v>248</v>
      </c>
      <c r="T44" t="s">
        <v>355</v>
      </c>
      <c r="U44" t="s">
        <v>127</v>
      </c>
      <c r="V44" t="s">
        <v>128</v>
      </c>
      <c r="W44" t="s">
        <v>648</v>
      </c>
      <c r="X44" t="s">
        <v>349</v>
      </c>
      <c r="Y44" t="s">
        <v>128</v>
      </c>
      <c r="Z44" t="s">
        <v>148</v>
      </c>
      <c r="AA44" t="s">
        <v>649</v>
      </c>
    </row>
    <row r="45" spans="1:27">
      <c r="A45" t="s">
        <v>968</v>
      </c>
      <c r="B45" s="1">
        <v>41465</v>
      </c>
      <c r="C45" t="s">
        <v>111</v>
      </c>
      <c r="D45" t="s">
        <v>112</v>
      </c>
      <c r="E45" t="s">
        <v>113</v>
      </c>
      <c r="F45" t="s">
        <v>114</v>
      </c>
      <c r="G45" t="s">
        <v>115</v>
      </c>
      <c r="H45" t="s">
        <v>116</v>
      </c>
      <c r="I45" t="s">
        <v>969</v>
      </c>
      <c r="J45" t="s">
        <v>118</v>
      </c>
      <c r="K45" t="s">
        <v>119</v>
      </c>
      <c r="L45" t="s">
        <v>120</v>
      </c>
      <c r="M45" t="s">
        <v>121</v>
      </c>
      <c r="N45" t="s">
        <v>122</v>
      </c>
      <c r="P45" t="s">
        <v>65</v>
      </c>
      <c r="Q45" t="s">
        <v>353</v>
      </c>
      <c r="R45" t="s">
        <v>135</v>
      </c>
      <c r="S45" t="s">
        <v>248</v>
      </c>
      <c r="T45" t="s">
        <v>355</v>
      </c>
      <c r="U45" t="s">
        <v>127</v>
      </c>
      <c r="V45" t="s">
        <v>128</v>
      </c>
      <c r="W45" t="s">
        <v>648</v>
      </c>
      <c r="X45" t="s">
        <v>349</v>
      </c>
      <c r="Y45" t="s">
        <v>128</v>
      </c>
      <c r="Z45" t="s">
        <v>148</v>
      </c>
      <c r="AA45" t="s">
        <v>649</v>
      </c>
    </row>
    <row r="46" spans="1:27">
      <c r="A46" t="s">
        <v>970</v>
      </c>
      <c r="B46" s="1">
        <v>41465</v>
      </c>
      <c r="C46" t="s">
        <v>111</v>
      </c>
      <c r="D46" t="s">
        <v>112</v>
      </c>
      <c r="E46" t="s">
        <v>113</v>
      </c>
      <c r="F46" t="s">
        <v>114</v>
      </c>
      <c r="G46" t="s">
        <v>115</v>
      </c>
      <c r="H46" t="s">
        <v>116</v>
      </c>
      <c r="I46" t="s">
        <v>971</v>
      </c>
      <c r="J46" t="s">
        <v>118</v>
      </c>
      <c r="K46" t="s">
        <v>119</v>
      </c>
      <c r="L46" t="s">
        <v>120</v>
      </c>
      <c r="M46" t="s">
        <v>121</v>
      </c>
      <c r="N46" t="s">
        <v>122</v>
      </c>
      <c r="P46" t="s">
        <v>65</v>
      </c>
      <c r="Q46" t="s">
        <v>353</v>
      </c>
      <c r="R46" t="s">
        <v>135</v>
      </c>
      <c r="S46" t="s">
        <v>248</v>
      </c>
      <c r="T46" t="s">
        <v>355</v>
      </c>
      <c r="U46" t="s">
        <v>127</v>
      </c>
      <c r="V46" t="s">
        <v>128</v>
      </c>
      <c r="W46" t="s">
        <v>648</v>
      </c>
      <c r="X46" t="s">
        <v>349</v>
      </c>
      <c r="Y46" t="s">
        <v>128</v>
      </c>
      <c r="Z46" t="s">
        <v>148</v>
      </c>
      <c r="AA46" t="s">
        <v>649</v>
      </c>
    </row>
    <row r="47" spans="1:27">
      <c r="A47" t="s">
        <v>972</v>
      </c>
      <c r="B47" s="1">
        <v>41465</v>
      </c>
      <c r="C47" t="s">
        <v>111</v>
      </c>
      <c r="D47" t="s">
        <v>112</v>
      </c>
      <c r="E47" t="s">
        <v>113</v>
      </c>
      <c r="F47" t="s">
        <v>114</v>
      </c>
      <c r="G47" t="s">
        <v>115</v>
      </c>
      <c r="H47" t="s">
        <v>116</v>
      </c>
      <c r="I47" t="s">
        <v>973</v>
      </c>
      <c r="J47" t="s">
        <v>118</v>
      </c>
      <c r="K47" t="s">
        <v>119</v>
      </c>
      <c r="L47" t="s">
        <v>120</v>
      </c>
      <c r="M47" t="s">
        <v>121</v>
      </c>
      <c r="N47" t="s">
        <v>122</v>
      </c>
      <c r="P47" t="s">
        <v>65</v>
      </c>
      <c r="Q47" t="s">
        <v>353</v>
      </c>
      <c r="R47" t="s">
        <v>135</v>
      </c>
      <c r="S47" t="s">
        <v>248</v>
      </c>
      <c r="T47" t="s">
        <v>355</v>
      </c>
      <c r="U47" t="s">
        <v>127</v>
      </c>
      <c r="V47" t="s">
        <v>128</v>
      </c>
      <c r="W47" t="s">
        <v>648</v>
      </c>
      <c r="X47" t="s">
        <v>349</v>
      </c>
      <c r="Y47" t="s">
        <v>128</v>
      </c>
      <c r="Z47" t="s">
        <v>148</v>
      </c>
      <c r="AA47" t="s">
        <v>649</v>
      </c>
    </row>
    <row r="48" spans="1:27">
      <c r="A48" t="s">
        <v>974</v>
      </c>
      <c r="B48" s="1">
        <v>41465</v>
      </c>
      <c r="C48" t="s">
        <v>111</v>
      </c>
      <c r="D48" t="s">
        <v>112</v>
      </c>
      <c r="E48" t="s">
        <v>113</v>
      </c>
      <c r="F48" t="s">
        <v>114</v>
      </c>
      <c r="G48" t="s">
        <v>115</v>
      </c>
      <c r="H48" t="s">
        <v>116</v>
      </c>
      <c r="I48" t="s">
        <v>975</v>
      </c>
      <c r="J48" t="s">
        <v>118</v>
      </c>
      <c r="K48" t="s">
        <v>119</v>
      </c>
      <c r="L48" t="s">
        <v>120</v>
      </c>
      <c r="M48" t="s">
        <v>121</v>
      </c>
      <c r="N48" t="s">
        <v>122</v>
      </c>
      <c r="P48" t="s">
        <v>65</v>
      </c>
      <c r="Q48" t="s">
        <v>353</v>
      </c>
      <c r="R48" t="s">
        <v>135</v>
      </c>
      <c r="S48" t="s">
        <v>248</v>
      </c>
      <c r="T48" t="s">
        <v>355</v>
      </c>
      <c r="U48" t="s">
        <v>127</v>
      </c>
      <c r="V48" t="s">
        <v>128</v>
      </c>
      <c r="W48" t="s">
        <v>648</v>
      </c>
      <c r="X48" t="s">
        <v>349</v>
      </c>
      <c r="Y48" t="s">
        <v>128</v>
      </c>
      <c r="Z48" t="s">
        <v>148</v>
      </c>
      <c r="AA48" t="s">
        <v>649</v>
      </c>
    </row>
    <row r="49" spans="1:27">
      <c r="A49" t="s">
        <v>976</v>
      </c>
      <c r="B49" s="1">
        <v>41465</v>
      </c>
      <c r="C49" t="s">
        <v>111</v>
      </c>
      <c r="D49" t="s">
        <v>112</v>
      </c>
      <c r="E49" t="s">
        <v>113</v>
      </c>
      <c r="F49" t="s">
        <v>114</v>
      </c>
      <c r="G49" t="s">
        <v>115</v>
      </c>
      <c r="H49" t="s">
        <v>116</v>
      </c>
      <c r="I49" t="s">
        <v>977</v>
      </c>
      <c r="J49" t="s">
        <v>118</v>
      </c>
      <c r="K49" t="s">
        <v>119</v>
      </c>
      <c r="L49" t="s">
        <v>120</v>
      </c>
      <c r="M49" t="s">
        <v>121</v>
      </c>
      <c r="N49" t="s">
        <v>122</v>
      </c>
      <c r="P49" t="s">
        <v>65</v>
      </c>
      <c r="Q49" t="s">
        <v>353</v>
      </c>
      <c r="R49" t="s">
        <v>135</v>
      </c>
      <c r="S49" t="s">
        <v>248</v>
      </c>
      <c r="T49" t="s">
        <v>355</v>
      </c>
      <c r="U49" t="s">
        <v>127</v>
      </c>
      <c r="V49" t="s">
        <v>128</v>
      </c>
      <c r="W49" t="s">
        <v>648</v>
      </c>
      <c r="X49" t="s">
        <v>349</v>
      </c>
      <c r="Y49" t="s">
        <v>128</v>
      </c>
      <c r="Z49" t="s">
        <v>148</v>
      </c>
      <c r="AA49" t="s">
        <v>649</v>
      </c>
    </row>
    <row r="50" spans="1:27">
      <c r="A50" t="s">
        <v>978</v>
      </c>
      <c r="B50" s="1">
        <v>41465</v>
      </c>
      <c r="C50" t="s">
        <v>111</v>
      </c>
      <c r="D50" t="s">
        <v>112</v>
      </c>
      <c r="E50" t="s">
        <v>113</v>
      </c>
      <c r="F50" t="s">
        <v>114</v>
      </c>
      <c r="G50" t="s">
        <v>115</v>
      </c>
      <c r="H50" t="s">
        <v>116</v>
      </c>
      <c r="I50" t="s">
        <v>979</v>
      </c>
      <c r="J50" t="s">
        <v>118</v>
      </c>
      <c r="K50" t="s">
        <v>119</v>
      </c>
      <c r="L50" t="s">
        <v>120</v>
      </c>
      <c r="M50" t="s">
        <v>121</v>
      </c>
      <c r="N50" t="s">
        <v>122</v>
      </c>
      <c r="P50" t="s">
        <v>65</v>
      </c>
      <c r="Q50" t="s">
        <v>353</v>
      </c>
      <c r="R50" t="s">
        <v>135</v>
      </c>
      <c r="S50" t="s">
        <v>248</v>
      </c>
      <c r="T50" t="s">
        <v>355</v>
      </c>
      <c r="U50" t="s">
        <v>127</v>
      </c>
      <c r="V50" t="s">
        <v>128</v>
      </c>
      <c r="W50" t="s">
        <v>648</v>
      </c>
      <c r="X50" t="s">
        <v>349</v>
      </c>
      <c r="Y50" t="s">
        <v>128</v>
      </c>
      <c r="Z50" t="s">
        <v>148</v>
      </c>
      <c r="AA50" t="s">
        <v>649</v>
      </c>
    </row>
    <row r="51" spans="1:27">
      <c r="A51" t="s">
        <v>980</v>
      </c>
      <c r="B51" s="1">
        <v>41465</v>
      </c>
      <c r="C51" t="s">
        <v>111</v>
      </c>
      <c r="D51" t="s">
        <v>112</v>
      </c>
      <c r="E51" t="s">
        <v>113</v>
      </c>
      <c r="F51" t="s">
        <v>114</v>
      </c>
      <c r="G51" t="s">
        <v>115</v>
      </c>
      <c r="H51" t="s">
        <v>116</v>
      </c>
      <c r="I51" t="s">
        <v>981</v>
      </c>
      <c r="J51" t="s">
        <v>118</v>
      </c>
      <c r="K51" t="s">
        <v>119</v>
      </c>
      <c r="L51" t="s">
        <v>120</v>
      </c>
      <c r="M51" t="s">
        <v>121</v>
      </c>
      <c r="N51" t="s">
        <v>122</v>
      </c>
      <c r="P51" t="s">
        <v>53</v>
      </c>
      <c r="Q51" t="s">
        <v>982</v>
      </c>
      <c r="R51" t="s">
        <v>135</v>
      </c>
      <c r="S51" t="s">
        <v>143</v>
      </c>
      <c r="T51" t="s">
        <v>983</v>
      </c>
      <c r="U51" t="s">
        <v>127</v>
      </c>
      <c r="V51" t="s">
        <v>128</v>
      </c>
      <c r="W51" t="s">
        <v>984</v>
      </c>
      <c r="X51" t="s">
        <v>876</v>
      </c>
      <c r="Y51" t="s">
        <v>128</v>
      </c>
      <c r="Z51" t="s">
        <v>985</v>
      </c>
      <c r="AA51" t="s">
        <v>149</v>
      </c>
    </row>
    <row r="52" spans="1:27">
      <c r="A52" t="s">
        <v>986</v>
      </c>
      <c r="B52" s="1">
        <v>41465</v>
      </c>
      <c r="C52" t="s">
        <v>111</v>
      </c>
      <c r="D52" t="s">
        <v>112</v>
      </c>
      <c r="E52" t="s">
        <v>113</v>
      </c>
      <c r="F52" t="s">
        <v>114</v>
      </c>
      <c r="G52" t="s">
        <v>115</v>
      </c>
      <c r="H52" t="s">
        <v>116</v>
      </c>
      <c r="I52" t="s">
        <v>987</v>
      </c>
      <c r="J52" t="s">
        <v>118</v>
      </c>
      <c r="K52" t="s">
        <v>119</v>
      </c>
      <c r="L52" t="s">
        <v>120</v>
      </c>
      <c r="M52" t="s">
        <v>121</v>
      </c>
      <c r="N52" t="s">
        <v>122</v>
      </c>
      <c r="P52" t="s">
        <v>53</v>
      </c>
      <c r="Q52" t="s">
        <v>277</v>
      </c>
      <c r="R52" t="s">
        <v>135</v>
      </c>
      <c r="S52" t="s">
        <v>143</v>
      </c>
      <c r="T52" t="s">
        <v>874</v>
      </c>
      <c r="U52" t="s">
        <v>127</v>
      </c>
      <c r="V52" t="s">
        <v>128</v>
      </c>
      <c r="W52" t="s">
        <v>875</v>
      </c>
      <c r="X52" t="s">
        <v>876</v>
      </c>
      <c r="Y52" t="s">
        <v>128</v>
      </c>
      <c r="Z52" t="s">
        <v>340</v>
      </c>
      <c r="AA52" t="s">
        <v>149</v>
      </c>
    </row>
    <row r="53" spans="1:27">
      <c r="A53" t="s">
        <v>988</v>
      </c>
      <c r="B53" s="1">
        <v>41465</v>
      </c>
      <c r="C53" t="s">
        <v>111</v>
      </c>
      <c r="D53" t="s">
        <v>112</v>
      </c>
      <c r="E53" t="s">
        <v>113</v>
      </c>
      <c r="F53" t="s">
        <v>114</v>
      </c>
      <c r="G53" t="s">
        <v>115</v>
      </c>
      <c r="H53" t="s">
        <v>116</v>
      </c>
      <c r="I53" t="s">
        <v>989</v>
      </c>
      <c r="J53" t="s">
        <v>118</v>
      </c>
      <c r="K53" t="s">
        <v>119</v>
      </c>
      <c r="L53" t="s">
        <v>120</v>
      </c>
      <c r="M53" t="s">
        <v>121</v>
      </c>
      <c r="N53" t="s">
        <v>122</v>
      </c>
      <c r="P53" t="s">
        <v>65</v>
      </c>
      <c r="Q53" t="s">
        <v>353</v>
      </c>
      <c r="R53" t="s">
        <v>135</v>
      </c>
      <c r="S53" t="s">
        <v>248</v>
      </c>
      <c r="T53" t="s">
        <v>355</v>
      </c>
      <c r="U53" t="s">
        <v>127</v>
      </c>
      <c r="V53" t="s">
        <v>128</v>
      </c>
      <c r="W53" t="s">
        <v>648</v>
      </c>
      <c r="X53" t="s">
        <v>349</v>
      </c>
      <c r="Y53" t="s">
        <v>128</v>
      </c>
      <c r="Z53" t="s">
        <v>148</v>
      </c>
      <c r="AA53" t="s">
        <v>649</v>
      </c>
    </row>
    <row r="54" spans="1:27">
      <c r="A54" t="s">
        <v>990</v>
      </c>
      <c r="B54" s="1">
        <v>41465</v>
      </c>
      <c r="C54" t="s">
        <v>111</v>
      </c>
      <c r="D54" t="s">
        <v>112</v>
      </c>
      <c r="E54" t="s">
        <v>113</v>
      </c>
      <c r="F54" t="s">
        <v>114</v>
      </c>
      <c r="G54" t="s">
        <v>115</v>
      </c>
      <c r="I54" t="s">
        <v>991</v>
      </c>
      <c r="J54" t="s">
        <v>118</v>
      </c>
      <c r="K54" t="s">
        <v>119</v>
      </c>
      <c r="L54" t="s">
        <v>120</v>
      </c>
      <c r="M54" t="s">
        <v>121</v>
      </c>
      <c r="N54" t="s">
        <v>419</v>
      </c>
      <c r="P54" t="s">
        <v>65</v>
      </c>
      <c r="Q54" t="s">
        <v>353</v>
      </c>
      <c r="S54" t="s">
        <v>248</v>
      </c>
      <c r="T54" t="s">
        <v>355</v>
      </c>
      <c r="W54" t="s">
        <v>648</v>
      </c>
      <c r="X54" t="s">
        <v>349</v>
      </c>
      <c r="Z54" t="s">
        <v>148</v>
      </c>
      <c r="AA54" t="s">
        <v>649</v>
      </c>
    </row>
    <row r="55" spans="1:27">
      <c r="A55" t="s">
        <v>992</v>
      </c>
      <c r="B55" s="1">
        <v>41465</v>
      </c>
      <c r="C55" t="s">
        <v>111</v>
      </c>
      <c r="D55" t="s">
        <v>112</v>
      </c>
      <c r="E55" t="s">
        <v>113</v>
      </c>
      <c r="F55" t="s">
        <v>114</v>
      </c>
      <c r="G55" t="s">
        <v>115</v>
      </c>
      <c r="I55" t="s">
        <v>993</v>
      </c>
      <c r="J55" t="s">
        <v>118</v>
      </c>
      <c r="K55" t="s">
        <v>119</v>
      </c>
      <c r="L55" t="s">
        <v>120</v>
      </c>
      <c r="M55" t="s">
        <v>121</v>
      </c>
      <c r="N55" t="s">
        <v>419</v>
      </c>
      <c r="P55" t="s">
        <v>65</v>
      </c>
      <c r="Q55" t="s">
        <v>353</v>
      </c>
      <c r="S55" t="s">
        <v>248</v>
      </c>
      <c r="T55" t="s">
        <v>355</v>
      </c>
      <c r="W55" t="s">
        <v>648</v>
      </c>
      <c r="X55" t="s">
        <v>349</v>
      </c>
      <c r="Z55" t="s">
        <v>148</v>
      </c>
      <c r="AA55" t="s">
        <v>649</v>
      </c>
    </row>
    <row r="56" spans="1:27">
      <c r="A56" t="s">
        <v>994</v>
      </c>
      <c r="B56" s="1">
        <v>41465</v>
      </c>
      <c r="C56" t="s">
        <v>111</v>
      </c>
      <c r="D56" t="s">
        <v>112</v>
      </c>
      <c r="E56" t="s">
        <v>113</v>
      </c>
      <c r="F56" t="s">
        <v>114</v>
      </c>
      <c r="G56" t="s">
        <v>115</v>
      </c>
      <c r="I56" t="s">
        <v>995</v>
      </c>
      <c r="J56" t="s">
        <v>118</v>
      </c>
      <c r="K56" t="s">
        <v>119</v>
      </c>
      <c r="L56" t="s">
        <v>120</v>
      </c>
      <c r="M56" t="s">
        <v>121</v>
      </c>
      <c r="N56" t="s">
        <v>419</v>
      </c>
      <c r="P56" t="s">
        <v>65</v>
      </c>
      <c r="Q56" t="s">
        <v>353</v>
      </c>
      <c r="S56" t="s">
        <v>248</v>
      </c>
      <c r="T56" t="s">
        <v>355</v>
      </c>
      <c r="W56" t="s">
        <v>648</v>
      </c>
      <c r="X56" t="s">
        <v>349</v>
      </c>
      <c r="Z56" t="s">
        <v>148</v>
      </c>
      <c r="AA56" t="s">
        <v>649</v>
      </c>
    </row>
    <row r="57" spans="1:27">
      <c r="A57" t="s">
        <v>996</v>
      </c>
      <c r="B57" s="1">
        <v>41465</v>
      </c>
      <c r="C57" t="s">
        <v>111</v>
      </c>
      <c r="D57" t="s">
        <v>112</v>
      </c>
      <c r="E57" t="s">
        <v>113</v>
      </c>
      <c r="F57" t="s">
        <v>114</v>
      </c>
      <c r="G57" t="s">
        <v>115</v>
      </c>
      <c r="I57" t="s">
        <v>997</v>
      </c>
      <c r="J57" t="s">
        <v>118</v>
      </c>
      <c r="K57" t="s">
        <v>119</v>
      </c>
      <c r="L57" t="s">
        <v>120</v>
      </c>
      <c r="M57" t="s">
        <v>121</v>
      </c>
      <c r="N57" t="s">
        <v>419</v>
      </c>
      <c r="P57" t="s">
        <v>65</v>
      </c>
      <c r="Q57" t="s">
        <v>353</v>
      </c>
      <c r="S57" t="s">
        <v>248</v>
      </c>
      <c r="T57" t="s">
        <v>355</v>
      </c>
      <c r="W57" t="s">
        <v>648</v>
      </c>
      <c r="X57" t="s">
        <v>349</v>
      </c>
      <c r="Z57" t="s">
        <v>148</v>
      </c>
      <c r="AA57" t="s">
        <v>649</v>
      </c>
    </row>
    <row r="58" spans="1:27">
      <c r="A58" t="s">
        <v>998</v>
      </c>
      <c r="B58" s="1">
        <v>41465</v>
      </c>
      <c r="C58" t="s">
        <v>111</v>
      </c>
      <c r="D58" t="s">
        <v>112</v>
      </c>
      <c r="E58" t="s">
        <v>113</v>
      </c>
      <c r="F58" t="s">
        <v>114</v>
      </c>
      <c r="G58" t="s">
        <v>115</v>
      </c>
      <c r="I58" t="s">
        <v>999</v>
      </c>
      <c r="J58" t="s">
        <v>118</v>
      </c>
      <c r="K58" t="s">
        <v>119</v>
      </c>
      <c r="L58" t="s">
        <v>120</v>
      </c>
      <c r="M58" t="s">
        <v>121</v>
      </c>
      <c r="N58" t="s">
        <v>419</v>
      </c>
      <c r="P58" t="s">
        <v>65</v>
      </c>
      <c r="Q58" t="s">
        <v>353</v>
      </c>
      <c r="S58" t="s">
        <v>248</v>
      </c>
      <c r="T58" t="s">
        <v>355</v>
      </c>
      <c r="W58" t="s">
        <v>648</v>
      </c>
      <c r="X58" t="s">
        <v>349</v>
      </c>
      <c r="Z58" t="s">
        <v>148</v>
      </c>
      <c r="AA58" t="s">
        <v>649</v>
      </c>
    </row>
    <row r="59" spans="1:27">
      <c r="A59" t="s">
        <v>1000</v>
      </c>
      <c r="B59" s="1">
        <v>41465</v>
      </c>
      <c r="C59" t="s">
        <v>111</v>
      </c>
      <c r="D59" t="s">
        <v>112</v>
      </c>
      <c r="E59" t="s">
        <v>113</v>
      </c>
      <c r="F59" t="s">
        <v>114</v>
      </c>
      <c r="G59" t="s">
        <v>115</v>
      </c>
      <c r="I59" t="s">
        <v>1001</v>
      </c>
      <c r="J59" t="s">
        <v>118</v>
      </c>
      <c r="K59" t="s">
        <v>119</v>
      </c>
      <c r="L59" t="s">
        <v>120</v>
      </c>
      <c r="M59" t="s">
        <v>121</v>
      </c>
      <c r="N59" t="s">
        <v>419</v>
      </c>
      <c r="P59" t="s">
        <v>65</v>
      </c>
      <c r="Q59" t="s">
        <v>353</v>
      </c>
      <c r="S59" t="s">
        <v>248</v>
      </c>
      <c r="T59" t="s">
        <v>355</v>
      </c>
      <c r="W59" t="s">
        <v>648</v>
      </c>
      <c r="X59" t="s">
        <v>349</v>
      </c>
      <c r="Z59" t="s">
        <v>148</v>
      </c>
      <c r="AA59" t="s">
        <v>649</v>
      </c>
    </row>
    <row r="60" spans="1:27">
      <c r="A60" t="s">
        <v>1002</v>
      </c>
      <c r="B60" s="1">
        <v>41465</v>
      </c>
      <c r="C60" t="s">
        <v>111</v>
      </c>
      <c r="D60" t="s">
        <v>112</v>
      </c>
      <c r="E60" t="s">
        <v>113</v>
      </c>
      <c r="F60" t="s">
        <v>114</v>
      </c>
      <c r="G60" t="s">
        <v>115</v>
      </c>
      <c r="I60" t="s">
        <v>1003</v>
      </c>
      <c r="J60" t="s">
        <v>118</v>
      </c>
      <c r="K60" t="s">
        <v>119</v>
      </c>
      <c r="L60" t="s">
        <v>120</v>
      </c>
      <c r="M60" t="s">
        <v>121</v>
      </c>
      <c r="N60" t="s">
        <v>419</v>
      </c>
      <c r="P60" t="s">
        <v>65</v>
      </c>
      <c r="Q60" t="s">
        <v>353</v>
      </c>
      <c r="S60" t="s">
        <v>248</v>
      </c>
      <c r="T60" t="s">
        <v>355</v>
      </c>
      <c r="W60" t="s">
        <v>648</v>
      </c>
      <c r="X60" t="s">
        <v>349</v>
      </c>
      <c r="Z60" t="s">
        <v>148</v>
      </c>
      <c r="AA60" t="s">
        <v>649</v>
      </c>
    </row>
    <row r="61" spans="1:27">
      <c r="A61" t="s">
        <v>1004</v>
      </c>
      <c r="B61" s="1">
        <v>41465</v>
      </c>
      <c r="C61" t="s">
        <v>111</v>
      </c>
      <c r="D61" t="s">
        <v>112</v>
      </c>
      <c r="E61" t="s">
        <v>113</v>
      </c>
      <c r="F61" t="s">
        <v>114</v>
      </c>
      <c r="G61" t="s">
        <v>115</v>
      </c>
      <c r="I61" t="s">
        <v>1005</v>
      </c>
      <c r="J61" t="s">
        <v>118</v>
      </c>
      <c r="K61" t="s">
        <v>119</v>
      </c>
      <c r="L61" t="s">
        <v>120</v>
      </c>
      <c r="M61" t="s">
        <v>121</v>
      </c>
      <c r="N61" t="s">
        <v>419</v>
      </c>
      <c r="P61" t="s">
        <v>65</v>
      </c>
      <c r="Q61" t="s">
        <v>353</v>
      </c>
      <c r="S61" t="s">
        <v>248</v>
      </c>
      <c r="T61" t="s">
        <v>355</v>
      </c>
      <c r="W61" t="s">
        <v>648</v>
      </c>
      <c r="X61" t="s">
        <v>349</v>
      </c>
      <c r="Z61" t="s">
        <v>148</v>
      </c>
      <c r="AA61" t="s">
        <v>649</v>
      </c>
    </row>
    <row r="62" spans="1:27">
      <c r="A62" t="s">
        <v>1006</v>
      </c>
      <c r="B62" s="1">
        <v>41465</v>
      </c>
      <c r="C62" t="s">
        <v>111</v>
      </c>
      <c r="D62" t="s">
        <v>112</v>
      </c>
      <c r="E62" t="s">
        <v>113</v>
      </c>
      <c r="F62" t="s">
        <v>114</v>
      </c>
      <c r="G62" t="s">
        <v>115</v>
      </c>
      <c r="I62" t="s">
        <v>1007</v>
      </c>
      <c r="J62" t="s">
        <v>118</v>
      </c>
      <c r="K62" t="s">
        <v>119</v>
      </c>
      <c r="L62" t="s">
        <v>120</v>
      </c>
      <c r="M62" t="s">
        <v>121</v>
      </c>
      <c r="N62" t="s">
        <v>419</v>
      </c>
      <c r="P62" t="s">
        <v>65</v>
      </c>
      <c r="Q62" t="s">
        <v>353</v>
      </c>
      <c r="S62" t="s">
        <v>248</v>
      </c>
      <c r="T62" t="s">
        <v>355</v>
      </c>
      <c r="W62" t="s">
        <v>648</v>
      </c>
      <c r="X62" t="s">
        <v>349</v>
      </c>
      <c r="Z62" t="s">
        <v>148</v>
      </c>
      <c r="AA62" t="s">
        <v>649</v>
      </c>
    </row>
    <row r="63" spans="1:27">
      <c r="A63" t="s">
        <v>1008</v>
      </c>
      <c r="B63" s="1">
        <v>41465</v>
      </c>
      <c r="C63" t="s">
        <v>111</v>
      </c>
      <c r="D63" t="s">
        <v>112</v>
      </c>
      <c r="E63" t="s">
        <v>113</v>
      </c>
      <c r="F63" t="s">
        <v>114</v>
      </c>
      <c r="G63" t="s">
        <v>115</v>
      </c>
      <c r="I63" t="s">
        <v>1009</v>
      </c>
      <c r="J63" t="s">
        <v>118</v>
      </c>
      <c r="K63" t="s">
        <v>119</v>
      </c>
      <c r="L63" t="s">
        <v>120</v>
      </c>
      <c r="M63" t="s">
        <v>121</v>
      </c>
      <c r="N63" t="s">
        <v>419</v>
      </c>
      <c r="P63" t="s">
        <v>65</v>
      </c>
      <c r="Q63" t="s">
        <v>353</v>
      </c>
      <c r="S63" t="s">
        <v>248</v>
      </c>
      <c r="T63" t="s">
        <v>355</v>
      </c>
      <c r="W63" t="s">
        <v>648</v>
      </c>
      <c r="X63" t="s">
        <v>349</v>
      </c>
      <c r="Z63" t="s">
        <v>148</v>
      </c>
      <c r="AA63" t="s">
        <v>649</v>
      </c>
    </row>
    <row r="64" spans="1:27">
      <c r="A64" t="s">
        <v>1010</v>
      </c>
      <c r="B64" s="1">
        <v>41465</v>
      </c>
      <c r="C64" t="s">
        <v>111</v>
      </c>
      <c r="D64" t="s">
        <v>112</v>
      </c>
      <c r="E64" t="s">
        <v>113</v>
      </c>
      <c r="F64" t="s">
        <v>114</v>
      </c>
      <c r="G64" t="s">
        <v>115</v>
      </c>
      <c r="I64" t="s">
        <v>1011</v>
      </c>
      <c r="J64" t="s">
        <v>118</v>
      </c>
      <c r="K64" t="s">
        <v>119</v>
      </c>
      <c r="L64" t="s">
        <v>120</v>
      </c>
      <c r="M64" t="s">
        <v>121</v>
      </c>
      <c r="N64" t="s">
        <v>419</v>
      </c>
      <c r="P64" t="s">
        <v>65</v>
      </c>
      <c r="Q64" t="s">
        <v>353</v>
      </c>
      <c r="S64" t="s">
        <v>248</v>
      </c>
      <c r="T64" t="s">
        <v>355</v>
      </c>
      <c r="W64" t="s">
        <v>648</v>
      </c>
      <c r="X64" t="s">
        <v>349</v>
      </c>
      <c r="Z64" t="s">
        <v>148</v>
      </c>
      <c r="AA64" t="s">
        <v>649</v>
      </c>
    </row>
    <row r="65" spans="1:27">
      <c r="A65" t="s">
        <v>1012</v>
      </c>
      <c r="B65" s="1">
        <v>41465</v>
      </c>
      <c r="C65" t="s">
        <v>111</v>
      </c>
      <c r="D65" t="s">
        <v>112</v>
      </c>
      <c r="E65" t="s">
        <v>113</v>
      </c>
      <c r="F65" t="s">
        <v>114</v>
      </c>
      <c r="G65" t="s">
        <v>115</v>
      </c>
      <c r="I65" t="s">
        <v>1013</v>
      </c>
      <c r="J65" t="s">
        <v>118</v>
      </c>
      <c r="K65" t="s">
        <v>119</v>
      </c>
      <c r="L65" t="s">
        <v>120</v>
      </c>
      <c r="M65" t="s">
        <v>121</v>
      </c>
      <c r="N65" t="s">
        <v>419</v>
      </c>
      <c r="P65" t="s">
        <v>65</v>
      </c>
      <c r="Q65" t="s">
        <v>353</v>
      </c>
      <c r="S65" t="s">
        <v>248</v>
      </c>
      <c r="T65" t="s">
        <v>355</v>
      </c>
      <c r="W65" t="s">
        <v>648</v>
      </c>
      <c r="X65" t="s">
        <v>349</v>
      </c>
      <c r="Z65" t="s">
        <v>148</v>
      </c>
      <c r="AA65" t="s">
        <v>649</v>
      </c>
    </row>
    <row r="66" spans="1:27">
      <c r="A66" t="s">
        <v>1014</v>
      </c>
      <c r="B66" s="1">
        <v>41465</v>
      </c>
      <c r="C66" t="s">
        <v>111</v>
      </c>
      <c r="D66" t="s">
        <v>112</v>
      </c>
      <c r="E66" t="s">
        <v>113</v>
      </c>
      <c r="F66" t="s">
        <v>114</v>
      </c>
      <c r="G66" t="s">
        <v>115</v>
      </c>
      <c r="I66" t="s">
        <v>1015</v>
      </c>
      <c r="J66" t="s">
        <v>118</v>
      </c>
      <c r="K66" t="s">
        <v>119</v>
      </c>
      <c r="L66" t="s">
        <v>120</v>
      </c>
      <c r="M66" t="s">
        <v>121</v>
      </c>
      <c r="N66" t="s">
        <v>419</v>
      </c>
      <c r="P66" t="s">
        <v>65</v>
      </c>
      <c r="Q66" t="s">
        <v>353</v>
      </c>
      <c r="S66" t="s">
        <v>248</v>
      </c>
      <c r="T66" t="s">
        <v>355</v>
      </c>
      <c r="W66" t="s">
        <v>648</v>
      </c>
      <c r="X66" t="s">
        <v>349</v>
      </c>
      <c r="Z66" t="s">
        <v>148</v>
      </c>
      <c r="AA66" t="s">
        <v>649</v>
      </c>
    </row>
    <row r="67" spans="1:27">
      <c r="A67" t="s">
        <v>1016</v>
      </c>
      <c r="B67" s="1">
        <v>41465</v>
      </c>
      <c r="C67" t="s">
        <v>111</v>
      </c>
      <c r="D67" t="s">
        <v>112</v>
      </c>
      <c r="E67" t="s">
        <v>113</v>
      </c>
      <c r="F67" t="s">
        <v>114</v>
      </c>
      <c r="G67" t="s">
        <v>115</v>
      </c>
      <c r="I67" t="s">
        <v>1017</v>
      </c>
      <c r="J67" t="s">
        <v>118</v>
      </c>
      <c r="K67" t="s">
        <v>119</v>
      </c>
      <c r="L67" t="s">
        <v>120</v>
      </c>
      <c r="M67" t="s">
        <v>121</v>
      </c>
      <c r="N67" t="s">
        <v>419</v>
      </c>
      <c r="P67" t="s">
        <v>65</v>
      </c>
      <c r="Q67" t="s">
        <v>353</v>
      </c>
      <c r="S67" t="s">
        <v>248</v>
      </c>
      <c r="T67" t="s">
        <v>355</v>
      </c>
      <c r="W67" t="s">
        <v>648</v>
      </c>
      <c r="X67" t="s">
        <v>349</v>
      </c>
      <c r="Z67" t="s">
        <v>148</v>
      </c>
      <c r="AA67" t="s">
        <v>649</v>
      </c>
    </row>
    <row r="68" spans="1:27">
      <c r="A68" t="s">
        <v>1018</v>
      </c>
      <c r="B68" s="1">
        <v>41465</v>
      </c>
      <c r="C68" t="s">
        <v>111</v>
      </c>
      <c r="D68" t="s">
        <v>112</v>
      </c>
      <c r="E68" t="s">
        <v>113</v>
      </c>
      <c r="F68" t="s">
        <v>114</v>
      </c>
      <c r="G68" t="s">
        <v>115</v>
      </c>
      <c r="I68" t="s">
        <v>1019</v>
      </c>
      <c r="J68" t="s">
        <v>118</v>
      </c>
      <c r="K68" t="s">
        <v>119</v>
      </c>
      <c r="L68" t="s">
        <v>120</v>
      </c>
      <c r="M68" t="s">
        <v>121</v>
      </c>
      <c r="N68" t="s">
        <v>419</v>
      </c>
      <c r="P68" t="s">
        <v>65</v>
      </c>
      <c r="Q68" t="s">
        <v>353</v>
      </c>
      <c r="S68" t="s">
        <v>248</v>
      </c>
      <c r="T68" t="s">
        <v>355</v>
      </c>
      <c r="W68" t="s">
        <v>648</v>
      </c>
      <c r="X68" t="s">
        <v>349</v>
      </c>
      <c r="Z68" t="s">
        <v>148</v>
      </c>
      <c r="AA68" t="s">
        <v>649</v>
      </c>
    </row>
    <row r="69" spans="1:27">
      <c r="A69" t="s">
        <v>341</v>
      </c>
      <c r="B69" s="1">
        <v>41465</v>
      </c>
      <c r="C69" t="s">
        <v>111</v>
      </c>
      <c r="D69" t="s">
        <v>112</v>
      </c>
      <c r="E69" t="s">
        <v>113</v>
      </c>
      <c r="F69" t="s">
        <v>114</v>
      </c>
      <c r="G69" t="s">
        <v>115</v>
      </c>
      <c r="I69" t="s">
        <v>342</v>
      </c>
      <c r="J69" t="s">
        <v>118</v>
      </c>
      <c r="K69" t="s">
        <v>119</v>
      </c>
      <c r="L69" t="s">
        <v>120</v>
      </c>
      <c r="M69" t="s">
        <v>121</v>
      </c>
      <c r="N69" t="s">
        <v>199</v>
      </c>
      <c r="O69" t="s">
        <v>1</v>
      </c>
      <c r="P69" t="s">
        <v>52</v>
      </c>
      <c r="Q69" t="s">
        <v>343</v>
      </c>
      <c r="S69" t="s">
        <v>143</v>
      </c>
      <c r="T69" t="s">
        <v>344</v>
      </c>
      <c r="W69" t="s">
        <v>1020</v>
      </c>
      <c r="X69" t="s">
        <v>336</v>
      </c>
      <c r="Z69" t="s">
        <v>196</v>
      </c>
      <c r="AA69" t="s">
        <v>138</v>
      </c>
    </row>
    <row r="70" spans="1:27">
      <c r="A70" t="s">
        <v>1021</v>
      </c>
      <c r="B70" s="1">
        <v>41465</v>
      </c>
      <c r="C70" t="s">
        <v>111</v>
      </c>
      <c r="D70" t="s">
        <v>112</v>
      </c>
      <c r="E70" t="s">
        <v>113</v>
      </c>
      <c r="F70" t="s">
        <v>114</v>
      </c>
      <c r="G70" t="s">
        <v>115</v>
      </c>
      <c r="I70" t="s">
        <v>1022</v>
      </c>
      <c r="J70" t="s">
        <v>118</v>
      </c>
      <c r="K70" t="s">
        <v>119</v>
      </c>
      <c r="L70" t="s">
        <v>120</v>
      </c>
      <c r="M70" t="s">
        <v>121</v>
      </c>
      <c r="N70" t="s">
        <v>199</v>
      </c>
      <c r="O70" t="s">
        <v>6</v>
      </c>
      <c r="P70" t="s">
        <v>54</v>
      </c>
      <c r="Q70" t="s">
        <v>235</v>
      </c>
      <c r="S70" t="s">
        <v>295</v>
      </c>
      <c r="T70" t="s">
        <v>272</v>
      </c>
      <c r="W70" t="s">
        <v>644</v>
      </c>
      <c r="X70" t="s">
        <v>1023</v>
      </c>
      <c r="Z70" t="s">
        <v>189</v>
      </c>
      <c r="AA70" t="s">
        <v>304</v>
      </c>
    </row>
    <row r="71" spans="1:27">
      <c r="A71" t="s">
        <v>1024</v>
      </c>
      <c r="B71" s="1">
        <v>41465</v>
      </c>
      <c r="C71" t="s">
        <v>111</v>
      </c>
      <c r="D71" t="s">
        <v>112</v>
      </c>
      <c r="E71" t="s">
        <v>113</v>
      </c>
      <c r="F71" t="s">
        <v>114</v>
      </c>
      <c r="G71" t="s">
        <v>115</v>
      </c>
      <c r="I71" t="s">
        <v>1025</v>
      </c>
      <c r="J71" t="s">
        <v>118</v>
      </c>
      <c r="K71" t="s">
        <v>119</v>
      </c>
      <c r="L71" t="s">
        <v>120</v>
      </c>
      <c r="M71" t="s">
        <v>121</v>
      </c>
      <c r="N71" t="s">
        <v>199</v>
      </c>
      <c r="O71" t="s">
        <v>7</v>
      </c>
      <c r="P71" t="s">
        <v>53</v>
      </c>
      <c r="Q71" t="s">
        <v>1026</v>
      </c>
      <c r="S71" t="s">
        <v>1027</v>
      </c>
      <c r="T71" t="s">
        <v>272</v>
      </c>
      <c r="W71" t="s">
        <v>1028</v>
      </c>
      <c r="X71" t="s">
        <v>349</v>
      </c>
      <c r="Z71" t="s">
        <v>633</v>
      </c>
      <c r="AA71" t="s">
        <v>243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Plan20"/>
  <dimension ref="A1:AA4"/>
  <sheetViews>
    <sheetView workbookViewId="0">
      <selection activeCell="I2" sqref="I2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341</v>
      </c>
      <c r="B2" s="1">
        <v>41465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I2" t="s">
        <v>342</v>
      </c>
      <c r="J2" t="s">
        <v>118</v>
      </c>
      <c r="K2" t="s">
        <v>119</v>
      </c>
      <c r="L2" t="s">
        <v>120</v>
      </c>
      <c r="M2" t="s">
        <v>121</v>
      </c>
      <c r="N2" t="s">
        <v>199</v>
      </c>
      <c r="O2" t="s">
        <v>1</v>
      </c>
      <c r="P2" t="s">
        <v>52</v>
      </c>
      <c r="Q2" t="s">
        <v>343</v>
      </c>
      <c r="S2" t="s">
        <v>143</v>
      </c>
      <c r="T2" t="s">
        <v>344</v>
      </c>
      <c r="W2" t="s">
        <v>1020</v>
      </c>
      <c r="X2" t="s">
        <v>336</v>
      </c>
      <c r="Z2" t="s">
        <v>196</v>
      </c>
      <c r="AA2" t="s">
        <v>138</v>
      </c>
    </row>
    <row r="3" spans="1:27">
      <c r="A3" t="s">
        <v>1021</v>
      </c>
      <c r="B3" s="1">
        <v>41465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I3" t="s">
        <v>1022</v>
      </c>
      <c r="J3" t="s">
        <v>118</v>
      </c>
      <c r="K3" t="s">
        <v>119</v>
      </c>
      <c r="L3" t="s">
        <v>120</v>
      </c>
      <c r="M3" t="s">
        <v>121</v>
      </c>
      <c r="N3" t="s">
        <v>199</v>
      </c>
      <c r="O3" t="s">
        <v>6</v>
      </c>
      <c r="P3" t="s">
        <v>54</v>
      </c>
      <c r="Q3" t="s">
        <v>235</v>
      </c>
      <c r="S3" t="s">
        <v>295</v>
      </c>
      <c r="T3" t="s">
        <v>272</v>
      </c>
      <c r="W3" t="s">
        <v>644</v>
      </c>
      <c r="X3" t="s">
        <v>1023</v>
      </c>
      <c r="Z3" t="s">
        <v>189</v>
      </c>
      <c r="AA3" t="s">
        <v>304</v>
      </c>
    </row>
    <row r="4" spans="1:27">
      <c r="A4" t="s">
        <v>1024</v>
      </c>
      <c r="B4" s="1">
        <v>41465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I4" t="s">
        <v>1025</v>
      </c>
      <c r="J4" t="s">
        <v>118</v>
      </c>
      <c r="K4" t="s">
        <v>119</v>
      </c>
      <c r="L4" t="s">
        <v>120</v>
      </c>
      <c r="M4" t="s">
        <v>121</v>
      </c>
      <c r="N4" t="s">
        <v>199</v>
      </c>
      <c r="O4" t="s">
        <v>7</v>
      </c>
      <c r="P4" t="s">
        <v>53</v>
      </c>
      <c r="Q4" t="s">
        <v>1026</v>
      </c>
      <c r="S4" t="s">
        <v>1027</v>
      </c>
      <c r="T4" t="s">
        <v>272</v>
      </c>
      <c r="W4" t="s">
        <v>1028</v>
      </c>
      <c r="X4" t="s">
        <v>349</v>
      </c>
      <c r="Z4" t="s">
        <v>633</v>
      </c>
      <c r="AA4" t="s">
        <v>243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Plan21"/>
  <dimension ref="A1:AA19"/>
  <sheetViews>
    <sheetView workbookViewId="0">
      <selection activeCell="I2" sqref="I2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1029</v>
      </c>
      <c r="B2" s="1">
        <v>41466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H2" t="s">
        <v>116</v>
      </c>
      <c r="I2" t="s">
        <v>1030</v>
      </c>
      <c r="J2" t="s">
        <v>118</v>
      </c>
      <c r="K2" t="s">
        <v>119</v>
      </c>
      <c r="L2" t="s">
        <v>120</v>
      </c>
      <c r="M2" t="s">
        <v>121</v>
      </c>
      <c r="N2" t="s">
        <v>122</v>
      </c>
      <c r="P2" t="s">
        <v>65</v>
      </c>
      <c r="Q2" t="s">
        <v>353</v>
      </c>
      <c r="R2" t="s">
        <v>135</v>
      </c>
      <c r="S2" t="s">
        <v>168</v>
      </c>
      <c r="T2" t="s">
        <v>1031</v>
      </c>
      <c r="U2" t="s">
        <v>127</v>
      </c>
      <c r="V2" t="s">
        <v>128</v>
      </c>
      <c r="W2" t="s">
        <v>429</v>
      </c>
      <c r="X2" t="s">
        <v>588</v>
      </c>
      <c r="Y2" t="s">
        <v>128</v>
      </c>
      <c r="Z2" t="s">
        <v>148</v>
      </c>
      <c r="AA2" t="s">
        <v>327</v>
      </c>
    </row>
    <row r="3" spans="1:27">
      <c r="A3" t="s">
        <v>1032</v>
      </c>
      <c r="B3" s="1">
        <v>41466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H3" t="s">
        <v>116</v>
      </c>
      <c r="I3" t="s">
        <v>1033</v>
      </c>
      <c r="J3" t="s">
        <v>118</v>
      </c>
      <c r="K3" t="s">
        <v>119</v>
      </c>
      <c r="L3" t="s">
        <v>120</v>
      </c>
      <c r="M3" t="s">
        <v>121</v>
      </c>
      <c r="N3" t="s">
        <v>122</v>
      </c>
      <c r="P3" t="s">
        <v>65</v>
      </c>
      <c r="Q3" t="s">
        <v>353</v>
      </c>
      <c r="R3" t="s">
        <v>135</v>
      </c>
      <c r="S3" t="s">
        <v>168</v>
      </c>
      <c r="T3" t="s">
        <v>1031</v>
      </c>
      <c r="U3" t="s">
        <v>127</v>
      </c>
      <c r="V3" t="s">
        <v>128</v>
      </c>
      <c r="W3" t="s">
        <v>429</v>
      </c>
      <c r="X3" t="s">
        <v>588</v>
      </c>
      <c r="Y3" t="s">
        <v>128</v>
      </c>
      <c r="Z3" t="s">
        <v>148</v>
      </c>
      <c r="AA3" t="s">
        <v>327</v>
      </c>
    </row>
    <row r="4" spans="1:27">
      <c r="A4" t="s">
        <v>1034</v>
      </c>
      <c r="B4" s="1">
        <v>41466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H4" t="s">
        <v>116</v>
      </c>
      <c r="I4" t="s">
        <v>1035</v>
      </c>
      <c r="J4" t="s">
        <v>118</v>
      </c>
      <c r="K4" t="s">
        <v>119</v>
      </c>
      <c r="L4" t="s">
        <v>120</v>
      </c>
      <c r="M4" t="s">
        <v>121</v>
      </c>
      <c r="N4" t="s">
        <v>122</v>
      </c>
      <c r="P4" t="s">
        <v>53</v>
      </c>
      <c r="Q4" t="s">
        <v>1036</v>
      </c>
      <c r="R4" t="s">
        <v>1037</v>
      </c>
      <c r="S4" t="s">
        <v>143</v>
      </c>
      <c r="T4" t="s">
        <v>272</v>
      </c>
      <c r="U4" t="s">
        <v>127</v>
      </c>
      <c r="V4" t="s">
        <v>231</v>
      </c>
      <c r="W4" t="s">
        <v>330</v>
      </c>
      <c r="X4" t="s">
        <v>1038</v>
      </c>
      <c r="Y4" t="s">
        <v>231</v>
      </c>
      <c r="Z4" t="s">
        <v>431</v>
      </c>
      <c r="AA4" t="s">
        <v>138</v>
      </c>
    </row>
    <row r="5" spans="1:27">
      <c r="A5" t="s">
        <v>1039</v>
      </c>
      <c r="B5" s="1">
        <v>41466</v>
      </c>
      <c r="C5" t="s">
        <v>111</v>
      </c>
      <c r="D5" t="s">
        <v>112</v>
      </c>
      <c r="E5" t="s">
        <v>113</v>
      </c>
      <c r="F5" t="s">
        <v>114</v>
      </c>
      <c r="G5" t="s">
        <v>115</v>
      </c>
      <c r="H5" t="s">
        <v>116</v>
      </c>
      <c r="I5" t="s">
        <v>1040</v>
      </c>
      <c r="J5" t="s">
        <v>118</v>
      </c>
      <c r="K5" t="s">
        <v>119</v>
      </c>
      <c r="L5" t="s">
        <v>120</v>
      </c>
      <c r="M5" t="s">
        <v>121</v>
      </c>
      <c r="N5" t="s">
        <v>122</v>
      </c>
      <c r="P5" t="s">
        <v>65</v>
      </c>
      <c r="Q5" t="s">
        <v>353</v>
      </c>
      <c r="R5" t="s">
        <v>135</v>
      </c>
      <c r="S5" t="s">
        <v>168</v>
      </c>
      <c r="T5" t="s">
        <v>126</v>
      </c>
      <c r="U5" t="s">
        <v>127</v>
      </c>
      <c r="V5" t="s">
        <v>128</v>
      </c>
      <c r="W5" t="s">
        <v>429</v>
      </c>
      <c r="X5" t="s">
        <v>588</v>
      </c>
      <c r="Y5" t="s">
        <v>128</v>
      </c>
      <c r="Z5" t="s">
        <v>148</v>
      </c>
      <c r="AA5" t="s">
        <v>327</v>
      </c>
    </row>
    <row r="6" spans="1:27">
      <c r="A6" t="s">
        <v>1041</v>
      </c>
      <c r="B6" s="1">
        <v>41466</v>
      </c>
      <c r="C6" t="s">
        <v>111</v>
      </c>
      <c r="D6" t="s">
        <v>112</v>
      </c>
      <c r="E6" t="s">
        <v>113</v>
      </c>
      <c r="F6" t="s">
        <v>114</v>
      </c>
      <c r="G6" t="s">
        <v>115</v>
      </c>
      <c r="H6" t="s">
        <v>116</v>
      </c>
      <c r="I6" t="s">
        <v>1042</v>
      </c>
      <c r="J6" t="s">
        <v>118</v>
      </c>
      <c r="K6" t="s">
        <v>119</v>
      </c>
      <c r="L6" t="s">
        <v>120</v>
      </c>
      <c r="M6" t="s">
        <v>121</v>
      </c>
      <c r="N6" t="s">
        <v>122</v>
      </c>
      <c r="P6" t="s">
        <v>53</v>
      </c>
      <c r="Q6" t="s">
        <v>1043</v>
      </c>
      <c r="R6" t="s">
        <v>135</v>
      </c>
      <c r="S6" t="s">
        <v>143</v>
      </c>
      <c r="T6" t="s">
        <v>927</v>
      </c>
      <c r="U6" t="s">
        <v>145</v>
      </c>
      <c r="V6" t="s">
        <v>128</v>
      </c>
      <c r="W6" t="s">
        <v>928</v>
      </c>
      <c r="X6" t="s">
        <v>1038</v>
      </c>
      <c r="Y6" t="s">
        <v>128</v>
      </c>
      <c r="Z6" t="s">
        <v>1044</v>
      </c>
      <c r="AA6" t="s">
        <v>138</v>
      </c>
    </row>
    <row r="7" spans="1:27">
      <c r="A7" t="s">
        <v>1045</v>
      </c>
      <c r="B7" s="1">
        <v>41466</v>
      </c>
      <c r="C7" t="s">
        <v>111</v>
      </c>
      <c r="D7" t="s">
        <v>112</v>
      </c>
      <c r="E7" t="s">
        <v>113</v>
      </c>
      <c r="F7" t="s">
        <v>114</v>
      </c>
      <c r="G7" t="s">
        <v>115</v>
      </c>
      <c r="H7" t="s">
        <v>116</v>
      </c>
      <c r="I7" t="s">
        <v>1046</v>
      </c>
      <c r="J7" t="s">
        <v>118</v>
      </c>
      <c r="K7" t="s">
        <v>119</v>
      </c>
      <c r="L7" t="s">
        <v>120</v>
      </c>
      <c r="M7" t="s">
        <v>121</v>
      </c>
      <c r="N7" t="s">
        <v>122</v>
      </c>
      <c r="P7" t="s">
        <v>53</v>
      </c>
      <c r="Q7" t="s">
        <v>271</v>
      </c>
      <c r="R7" t="s">
        <v>135</v>
      </c>
      <c r="S7" t="s">
        <v>295</v>
      </c>
      <c r="T7" t="s">
        <v>272</v>
      </c>
      <c r="U7" t="s">
        <v>127</v>
      </c>
      <c r="V7" t="s">
        <v>128</v>
      </c>
      <c r="W7" t="s">
        <v>1047</v>
      </c>
      <c r="X7" t="s">
        <v>1038</v>
      </c>
      <c r="Y7" t="s">
        <v>128</v>
      </c>
      <c r="Z7" t="s">
        <v>340</v>
      </c>
      <c r="AA7" t="s">
        <v>164</v>
      </c>
    </row>
    <row r="8" spans="1:27">
      <c r="A8" t="s">
        <v>1048</v>
      </c>
      <c r="B8" s="1">
        <v>41466</v>
      </c>
      <c r="C8" t="s">
        <v>111</v>
      </c>
      <c r="D8" t="s">
        <v>112</v>
      </c>
      <c r="E8" t="s">
        <v>113</v>
      </c>
      <c r="F8" t="s">
        <v>114</v>
      </c>
      <c r="G8" t="s">
        <v>115</v>
      </c>
      <c r="H8" t="s">
        <v>116</v>
      </c>
      <c r="I8" t="s">
        <v>1049</v>
      </c>
      <c r="J8" t="s">
        <v>118</v>
      </c>
      <c r="K8" t="s">
        <v>119</v>
      </c>
      <c r="L8" t="s">
        <v>120</v>
      </c>
      <c r="M8" t="s">
        <v>121</v>
      </c>
      <c r="N8" t="s">
        <v>122</v>
      </c>
      <c r="P8" t="s">
        <v>65</v>
      </c>
      <c r="Q8" t="s">
        <v>353</v>
      </c>
      <c r="R8" t="s">
        <v>135</v>
      </c>
      <c r="S8" t="s">
        <v>168</v>
      </c>
      <c r="T8" t="s">
        <v>1031</v>
      </c>
      <c r="U8" t="s">
        <v>127</v>
      </c>
      <c r="V8" t="s">
        <v>128</v>
      </c>
      <c r="W8" t="s">
        <v>429</v>
      </c>
      <c r="X8" t="s">
        <v>588</v>
      </c>
      <c r="Y8" t="s">
        <v>128</v>
      </c>
      <c r="Z8" t="s">
        <v>148</v>
      </c>
      <c r="AA8" t="s">
        <v>327</v>
      </c>
    </row>
    <row r="9" spans="1:27">
      <c r="A9" t="s">
        <v>1050</v>
      </c>
      <c r="B9" s="1">
        <v>41466</v>
      </c>
      <c r="C9" t="s">
        <v>111</v>
      </c>
      <c r="D9" t="s">
        <v>112</v>
      </c>
      <c r="E9" t="s">
        <v>113</v>
      </c>
      <c r="F9" t="s">
        <v>114</v>
      </c>
      <c r="G9" t="s">
        <v>115</v>
      </c>
      <c r="H9" t="s">
        <v>116</v>
      </c>
      <c r="I9" t="s">
        <v>1051</v>
      </c>
      <c r="J9" t="s">
        <v>118</v>
      </c>
      <c r="K9" t="s">
        <v>119</v>
      </c>
      <c r="L9" t="s">
        <v>120</v>
      </c>
      <c r="M9" t="s">
        <v>121</v>
      </c>
      <c r="N9" t="s">
        <v>122</v>
      </c>
      <c r="P9" t="s">
        <v>65</v>
      </c>
      <c r="Q9" t="s">
        <v>353</v>
      </c>
      <c r="R9" t="s">
        <v>135</v>
      </c>
      <c r="S9" t="s">
        <v>168</v>
      </c>
      <c r="T9" t="s">
        <v>1031</v>
      </c>
      <c r="U9" t="s">
        <v>127</v>
      </c>
      <c r="V9" t="s">
        <v>128</v>
      </c>
      <c r="W9" t="s">
        <v>429</v>
      </c>
      <c r="X9" t="s">
        <v>588</v>
      </c>
      <c r="Y9" t="s">
        <v>128</v>
      </c>
      <c r="Z9" t="s">
        <v>148</v>
      </c>
      <c r="AA9" t="s">
        <v>327</v>
      </c>
    </row>
    <row r="10" spans="1:27">
      <c r="A10" t="s">
        <v>1052</v>
      </c>
      <c r="B10" s="1">
        <v>41466</v>
      </c>
      <c r="C10" t="s">
        <v>111</v>
      </c>
      <c r="D10" t="s">
        <v>112</v>
      </c>
      <c r="E10" t="s">
        <v>113</v>
      </c>
      <c r="F10" t="s">
        <v>114</v>
      </c>
      <c r="G10" t="s">
        <v>115</v>
      </c>
      <c r="H10" t="s">
        <v>116</v>
      </c>
      <c r="I10" t="s">
        <v>1053</v>
      </c>
      <c r="J10" t="s">
        <v>118</v>
      </c>
      <c r="K10" t="s">
        <v>119</v>
      </c>
      <c r="L10" t="s">
        <v>120</v>
      </c>
      <c r="M10" t="s">
        <v>121</v>
      </c>
      <c r="N10" t="s">
        <v>122</v>
      </c>
      <c r="P10" t="s">
        <v>65</v>
      </c>
      <c r="Q10" t="s">
        <v>353</v>
      </c>
      <c r="R10" t="s">
        <v>135</v>
      </c>
      <c r="S10" t="s">
        <v>168</v>
      </c>
      <c r="T10" t="s">
        <v>1031</v>
      </c>
      <c r="U10" t="s">
        <v>127</v>
      </c>
      <c r="V10" t="s">
        <v>128</v>
      </c>
      <c r="W10" t="s">
        <v>429</v>
      </c>
      <c r="X10" t="s">
        <v>588</v>
      </c>
      <c r="Y10" t="s">
        <v>128</v>
      </c>
      <c r="Z10" t="s">
        <v>148</v>
      </c>
      <c r="AA10" t="s">
        <v>327</v>
      </c>
    </row>
    <row r="11" spans="1:27">
      <c r="A11" t="s">
        <v>1054</v>
      </c>
      <c r="B11" s="1">
        <v>41466</v>
      </c>
      <c r="C11" t="s">
        <v>111</v>
      </c>
      <c r="D11" t="s">
        <v>112</v>
      </c>
      <c r="E11" t="s">
        <v>113</v>
      </c>
      <c r="F11" t="s">
        <v>114</v>
      </c>
      <c r="G11" t="s">
        <v>115</v>
      </c>
      <c r="H11" t="s">
        <v>116</v>
      </c>
      <c r="I11" t="s">
        <v>1055</v>
      </c>
      <c r="J11" t="s">
        <v>118</v>
      </c>
      <c r="K11" t="s">
        <v>119</v>
      </c>
      <c r="L11" t="s">
        <v>120</v>
      </c>
      <c r="M11" t="s">
        <v>121</v>
      </c>
      <c r="N11" t="s">
        <v>122</v>
      </c>
      <c r="P11" t="s">
        <v>65</v>
      </c>
      <c r="Q11" t="s">
        <v>353</v>
      </c>
      <c r="R11" t="s">
        <v>135</v>
      </c>
      <c r="S11" t="s">
        <v>168</v>
      </c>
      <c r="T11" t="s">
        <v>1031</v>
      </c>
      <c r="U11" t="s">
        <v>127</v>
      </c>
      <c r="V11" t="s">
        <v>128</v>
      </c>
      <c r="W11" t="s">
        <v>429</v>
      </c>
      <c r="X11" t="s">
        <v>588</v>
      </c>
      <c r="Y11" t="s">
        <v>128</v>
      </c>
      <c r="Z11" t="s">
        <v>148</v>
      </c>
      <c r="AA11" t="s">
        <v>327</v>
      </c>
    </row>
    <row r="12" spans="1:27">
      <c r="A12" t="s">
        <v>1056</v>
      </c>
      <c r="B12" s="1">
        <v>41466</v>
      </c>
      <c r="C12" t="s">
        <v>111</v>
      </c>
      <c r="D12" t="s">
        <v>112</v>
      </c>
      <c r="E12" t="s">
        <v>113</v>
      </c>
      <c r="F12" t="s">
        <v>114</v>
      </c>
      <c r="G12" t="s">
        <v>115</v>
      </c>
      <c r="H12" t="s">
        <v>116</v>
      </c>
      <c r="I12" t="s">
        <v>1057</v>
      </c>
      <c r="J12" t="s">
        <v>118</v>
      </c>
      <c r="K12" t="s">
        <v>119</v>
      </c>
      <c r="L12" t="s">
        <v>120</v>
      </c>
      <c r="M12" t="s">
        <v>121</v>
      </c>
      <c r="N12" t="s">
        <v>122</v>
      </c>
      <c r="P12" t="s">
        <v>52</v>
      </c>
      <c r="Q12" t="s">
        <v>123</v>
      </c>
      <c r="R12" t="s">
        <v>541</v>
      </c>
      <c r="S12" t="s">
        <v>295</v>
      </c>
      <c r="T12" t="s">
        <v>1058</v>
      </c>
      <c r="U12" t="s">
        <v>145</v>
      </c>
      <c r="V12" t="s">
        <v>128</v>
      </c>
      <c r="W12" t="s">
        <v>1059</v>
      </c>
      <c r="X12" t="s">
        <v>1038</v>
      </c>
      <c r="Y12" t="s">
        <v>128</v>
      </c>
      <c r="Z12" t="s">
        <v>281</v>
      </c>
      <c r="AA12" t="s">
        <v>268</v>
      </c>
    </row>
    <row r="13" spans="1:27">
      <c r="A13" t="s">
        <v>855</v>
      </c>
      <c r="B13" s="1">
        <v>41466</v>
      </c>
      <c r="C13" t="s">
        <v>111</v>
      </c>
      <c r="D13" t="s">
        <v>112</v>
      </c>
      <c r="E13" t="s">
        <v>113</v>
      </c>
      <c r="F13" t="s">
        <v>114</v>
      </c>
      <c r="G13" t="s">
        <v>115</v>
      </c>
      <c r="H13" t="s">
        <v>116</v>
      </c>
      <c r="I13" t="s">
        <v>856</v>
      </c>
      <c r="J13" t="s">
        <v>118</v>
      </c>
      <c r="K13" t="s">
        <v>119</v>
      </c>
      <c r="L13" t="s">
        <v>120</v>
      </c>
      <c r="M13" t="s">
        <v>121</v>
      </c>
      <c r="N13" t="s">
        <v>122</v>
      </c>
      <c r="P13" t="s">
        <v>53</v>
      </c>
      <c r="Q13" t="s">
        <v>309</v>
      </c>
      <c r="R13" t="s">
        <v>1060</v>
      </c>
      <c r="S13" t="s">
        <v>143</v>
      </c>
      <c r="T13" t="s">
        <v>857</v>
      </c>
      <c r="U13" t="s">
        <v>155</v>
      </c>
      <c r="V13" t="s">
        <v>128</v>
      </c>
      <c r="W13" t="s">
        <v>237</v>
      </c>
      <c r="X13" t="s">
        <v>758</v>
      </c>
      <c r="Y13" t="s">
        <v>128</v>
      </c>
      <c r="Z13" t="s">
        <v>593</v>
      </c>
      <c r="AA13" t="s">
        <v>138</v>
      </c>
    </row>
    <row r="14" spans="1:27">
      <c r="A14" t="s">
        <v>1061</v>
      </c>
      <c r="B14" s="1">
        <v>41466</v>
      </c>
      <c r="C14" t="s">
        <v>111</v>
      </c>
      <c r="D14" t="s">
        <v>112</v>
      </c>
      <c r="E14" t="s">
        <v>113</v>
      </c>
      <c r="F14" t="s">
        <v>114</v>
      </c>
      <c r="G14" t="s">
        <v>115</v>
      </c>
      <c r="H14" t="s">
        <v>116</v>
      </c>
      <c r="I14" t="s">
        <v>1062</v>
      </c>
      <c r="J14" t="s">
        <v>118</v>
      </c>
      <c r="K14" t="s">
        <v>119</v>
      </c>
      <c r="L14" t="s">
        <v>120</v>
      </c>
      <c r="M14" t="s">
        <v>121</v>
      </c>
      <c r="N14" t="s">
        <v>122</v>
      </c>
      <c r="P14" t="s">
        <v>65</v>
      </c>
      <c r="Q14" t="s">
        <v>353</v>
      </c>
      <c r="R14" t="s">
        <v>135</v>
      </c>
      <c r="S14" t="s">
        <v>168</v>
      </c>
      <c r="T14" t="s">
        <v>1031</v>
      </c>
      <c r="U14" t="s">
        <v>127</v>
      </c>
      <c r="V14" t="s">
        <v>128</v>
      </c>
      <c r="W14" t="s">
        <v>429</v>
      </c>
      <c r="X14" t="s">
        <v>588</v>
      </c>
      <c r="Y14" t="s">
        <v>128</v>
      </c>
      <c r="Z14" t="s">
        <v>148</v>
      </c>
      <c r="AA14" t="s">
        <v>327</v>
      </c>
    </row>
    <row r="15" spans="1:27">
      <c r="A15" t="s">
        <v>1063</v>
      </c>
      <c r="B15" s="1">
        <v>41466</v>
      </c>
      <c r="C15" t="s">
        <v>111</v>
      </c>
      <c r="D15" t="s">
        <v>112</v>
      </c>
      <c r="E15" t="s">
        <v>113</v>
      </c>
      <c r="F15" t="s">
        <v>114</v>
      </c>
      <c r="G15" t="s">
        <v>115</v>
      </c>
      <c r="H15" t="s">
        <v>116</v>
      </c>
      <c r="I15" t="s">
        <v>1064</v>
      </c>
      <c r="J15" t="s">
        <v>118</v>
      </c>
      <c r="K15" t="s">
        <v>119</v>
      </c>
      <c r="L15" t="s">
        <v>120</v>
      </c>
      <c r="M15" t="s">
        <v>121</v>
      </c>
      <c r="N15" t="s">
        <v>122</v>
      </c>
      <c r="P15" t="s">
        <v>65</v>
      </c>
      <c r="Q15" t="s">
        <v>353</v>
      </c>
      <c r="R15" t="s">
        <v>135</v>
      </c>
      <c r="S15" t="s">
        <v>168</v>
      </c>
      <c r="T15" t="s">
        <v>1031</v>
      </c>
      <c r="U15" t="s">
        <v>127</v>
      </c>
      <c r="V15" t="s">
        <v>128</v>
      </c>
      <c r="W15" t="s">
        <v>429</v>
      </c>
      <c r="X15" t="s">
        <v>588</v>
      </c>
      <c r="Y15" t="s">
        <v>128</v>
      </c>
      <c r="Z15" t="s">
        <v>148</v>
      </c>
      <c r="AA15" t="s">
        <v>327</v>
      </c>
    </row>
    <row r="16" spans="1:27">
      <c r="A16" t="s">
        <v>1065</v>
      </c>
      <c r="B16" s="1">
        <v>41466</v>
      </c>
      <c r="C16" t="s">
        <v>111</v>
      </c>
      <c r="D16" t="s">
        <v>112</v>
      </c>
      <c r="E16" t="s">
        <v>113</v>
      </c>
      <c r="F16" t="s">
        <v>114</v>
      </c>
      <c r="G16" t="s">
        <v>115</v>
      </c>
      <c r="H16" t="s">
        <v>116</v>
      </c>
      <c r="I16" t="s">
        <v>1066</v>
      </c>
      <c r="J16" t="s">
        <v>118</v>
      </c>
      <c r="K16" t="s">
        <v>119</v>
      </c>
      <c r="L16" t="s">
        <v>120</v>
      </c>
      <c r="M16" t="s">
        <v>121</v>
      </c>
      <c r="N16" t="s">
        <v>122</v>
      </c>
      <c r="P16" t="s">
        <v>65</v>
      </c>
      <c r="Q16" t="s">
        <v>353</v>
      </c>
      <c r="R16" t="s">
        <v>135</v>
      </c>
      <c r="S16" t="s">
        <v>168</v>
      </c>
      <c r="T16" t="s">
        <v>1031</v>
      </c>
      <c r="U16" t="s">
        <v>127</v>
      </c>
      <c r="V16" t="s">
        <v>128</v>
      </c>
      <c r="W16" t="s">
        <v>429</v>
      </c>
      <c r="X16" t="s">
        <v>588</v>
      </c>
      <c r="Y16" t="s">
        <v>128</v>
      </c>
      <c r="Z16" t="s">
        <v>148</v>
      </c>
      <c r="AA16" t="s">
        <v>327</v>
      </c>
    </row>
    <row r="17" spans="1:27">
      <c r="A17" t="s">
        <v>1067</v>
      </c>
      <c r="B17" s="1">
        <v>41466</v>
      </c>
      <c r="C17" t="s">
        <v>111</v>
      </c>
      <c r="D17" t="s">
        <v>112</v>
      </c>
      <c r="E17" t="s">
        <v>113</v>
      </c>
      <c r="F17" t="s">
        <v>114</v>
      </c>
      <c r="G17" t="s">
        <v>115</v>
      </c>
      <c r="H17" t="s">
        <v>1068</v>
      </c>
      <c r="I17" t="s">
        <v>1069</v>
      </c>
      <c r="J17" t="s">
        <v>118</v>
      </c>
      <c r="K17" t="s">
        <v>119</v>
      </c>
      <c r="L17" t="s">
        <v>120</v>
      </c>
      <c r="M17" t="s">
        <v>121</v>
      </c>
      <c r="N17" t="s">
        <v>193</v>
      </c>
      <c r="O17" t="s">
        <v>8</v>
      </c>
      <c r="P17" t="s">
        <v>53</v>
      </c>
      <c r="Q17" t="s">
        <v>1070</v>
      </c>
      <c r="R17" t="s">
        <v>135</v>
      </c>
      <c r="S17" t="s">
        <v>143</v>
      </c>
      <c r="T17" t="s">
        <v>1071</v>
      </c>
      <c r="U17" t="s">
        <v>286</v>
      </c>
      <c r="W17" t="s">
        <v>1072</v>
      </c>
      <c r="X17" t="s">
        <v>1038</v>
      </c>
      <c r="Y17" t="s">
        <v>170</v>
      </c>
      <c r="Z17" t="s">
        <v>589</v>
      </c>
      <c r="AA17" t="s">
        <v>149</v>
      </c>
    </row>
    <row r="18" spans="1:27">
      <c r="A18" t="s">
        <v>298</v>
      </c>
      <c r="B18" s="1">
        <v>41466</v>
      </c>
      <c r="C18" t="s">
        <v>111</v>
      </c>
      <c r="D18" t="s">
        <v>112</v>
      </c>
      <c r="E18" t="s">
        <v>113</v>
      </c>
      <c r="F18" t="s">
        <v>114</v>
      </c>
      <c r="G18" t="s">
        <v>115</v>
      </c>
      <c r="I18" t="s">
        <v>206</v>
      </c>
      <c r="J18" t="s">
        <v>118</v>
      </c>
      <c r="K18" t="s">
        <v>119</v>
      </c>
      <c r="L18" t="s">
        <v>120</v>
      </c>
      <c r="M18" t="s">
        <v>121</v>
      </c>
      <c r="N18" t="s">
        <v>199</v>
      </c>
      <c r="O18" t="s">
        <v>12</v>
      </c>
      <c r="P18" t="s">
        <v>52</v>
      </c>
      <c r="Q18" t="s">
        <v>123</v>
      </c>
      <c r="S18" t="s">
        <v>200</v>
      </c>
      <c r="T18" t="s">
        <v>207</v>
      </c>
      <c r="W18" t="s">
        <v>1073</v>
      </c>
      <c r="X18" t="s">
        <v>182</v>
      </c>
      <c r="Z18" t="s">
        <v>196</v>
      </c>
      <c r="AA18" t="s">
        <v>209</v>
      </c>
    </row>
    <row r="19" spans="1:27">
      <c r="A19" t="s">
        <v>849</v>
      </c>
      <c r="B19" s="1">
        <v>41466</v>
      </c>
      <c r="C19" t="s">
        <v>111</v>
      </c>
      <c r="D19" t="s">
        <v>112</v>
      </c>
      <c r="E19" t="s">
        <v>113</v>
      </c>
      <c r="F19" t="s">
        <v>114</v>
      </c>
      <c r="G19" t="s">
        <v>115</v>
      </c>
      <c r="I19" t="s">
        <v>850</v>
      </c>
      <c r="J19" t="s">
        <v>118</v>
      </c>
      <c r="K19" t="s">
        <v>119</v>
      </c>
      <c r="L19" t="s">
        <v>120</v>
      </c>
      <c r="M19" t="s">
        <v>121</v>
      </c>
      <c r="N19" t="s">
        <v>199</v>
      </c>
      <c r="O19" t="s">
        <v>10</v>
      </c>
      <c r="P19" t="s">
        <v>53</v>
      </c>
      <c r="Q19" t="s">
        <v>615</v>
      </c>
      <c r="S19" t="s">
        <v>143</v>
      </c>
      <c r="T19" t="s">
        <v>745</v>
      </c>
      <c r="W19" t="s">
        <v>1076</v>
      </c>
      <c r="X19" t="s">
        <v>758</v>
      </c>
      <c r="Z19" t="s">
        <v>340</v>
      </c>
      <c r="AA19" t="s">
        <v>1077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Plan22"/>
  <dimension ref="A1:AA5"/>
  <sheetViews>
    <sheetView workbookViewId="0">
      <selection activeCell="I2" sqref="I2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1067</v>
      </c>
      <c r="B2" s="1">
        <v>41466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H2" t="s">
        <v>1068</v>
      </c>
      <c r="I2" t="s">
        <v>1069</v>
      </c>
      <c r="J2" t="s">
        <v>118</v>
      </c>
      <c r="K2" t="s">
        <v>119</v>
      </c>
      <c r="L2" t="s">
        <v>120</v>
      </c>
      <c r="M2" t="s">
        <v>121</v>
      </c>
      <c r="N2" t="s">
        <v>193</v>
      </c>
      <c r="O2" t="s">
        <v>8</v>
      </c>
      <c r="P2" t="s">
        <v>53</v>
      </c>
      <c r="Q2" t="s">
        <v>1070</v>
      </c>
      <c r="R2" t="s">
        <v>135</v>
      </c>
      <c r="S2" t="s">
        <v>143</v>
      </c>
      <c r="T2" t="s">
        <v>1071</v>
      </c>
      <c r="U2" t="s">
        <v>286</v>
      </c>
      <c r="W2" t="s">
        <v>1072</v>
      </c>
      <c r="X2" t="s">
        <v>1038</v>
      </c>
      <c r="Y2" t="s">
        <v>170</v>
      </c>
      <c r="Z2" t="s">
        <v>589</v>
      </c>
      <c r="AA2" t="s">
        <v>149</v>
      </c>
    </row>
    <row r="3" spans="1:27">
      <c r="A3" t="s">
        <v>1074</v>
      </c>
      <c r="B3" s="1">
        <v>41466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I3" t="s">
        <v>1042</v>
      </c>
      <c r="J3" t="s">
        <v>118</v>
      </c>
      <c r="K3" t="s">
        <v>119</v>
      </c>
      <c r="L3" t="s">
        <v>120</v>
      </c>
      <c r="M3" t="s">
        <v>121</v>
      </c>
      <c r="N3" t="s">
        <v>199</v>
      </c>
      <c r="O3" t="s">
        <v>10</v>
      </c>
      <c r="P3" t="s">
        <v>53</v>
      </c>
      <c r="Q3" t="s">
        <v>1075</v>
      </c>
      <c r="S3" t="s">
        <v>143</v>
      </c>
      <c r="T3" t="s">
        <v>927</v>
      </c>
      <c r="W3" t="s">
        <v>928</v>
      </c>
      <c r="X3" t="s">
        <v>1038</v>
      </c>
      <c r="Z3" t="s">
        <v>1044</v>
      </c>
      <c r="AA3" t="s">
        <v>138</v>
      </c>
    </row>
    <row r="4" spans="1:27">
      <c r="A4" t="s">
        <v>849</v>
      </c>
      <c r="B4" s="1">
        <v>41466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I4" t="s">
        <v>850</v>
      </c>
      <c r="J4" t="s">
        <v>118</v>
      </c>
      <c r="K4" t="s">
        <v>119</v>
      </c>
      <c r="L4" t="s">
        <v>120</v>
      </c>
      <c r="M4" t="s">
        <v>121</v>
      </c>
      <c r="N4" t="s">
        <v>199</v>
      </c>
      <c r="O4" t="s">
        <v>10</v>
      </c>
      <c r="P4" t="s">
        <v>53</v>
      </c>
      <c r="Q4" t="s">
        <v>615</v>
      </c>
      <c r="S4" t="s">
        <v>143</v>
      </c>
      <c r="T4" t="s">
        <v>745</v>
      </c>
      <c r="W4" t="s">
        <v>1076</v>
      </c>
      <c r="X4" t="s">
        <v>758</v>
      </c>
      <c r="Z4" t="s">
        <v>340</v>
      </c>
      <c r="AA4" t="s">
        <v>1077</v>
      </c>
    </row>
    <row r="5" spans="1:27">
      <c r="A5" t="s">
        <v>298</v>
      </c>
      <c r="B5" s="1">
        <v>41466</v>
      </c>
      <c r="C5" t="s">
        <v>111</v>
      </c>
      <c r="D5" t="s">
        <v>112</v>
      </c>
      <c r="E5" t="s">
        <v>113</v>
      </c>
      <c r="F5" t="s">
        <v>114</v>
      </c>
      <c r="G5" t="s">
        <v>115</v>
      </c>
      <c r="I5" t="s">
        <v>206</v>
      </c>
      <c r="J5" t="s">
        <v>118</v>
      </c>
      <c r="K5" t="s">
        <v>119</v>
      </c>
      <c r="L5" t="s">
        <v>120</v>
      </c>
      <c r="M5" t="s">
        <v>121</v>
      </c>
      <c r="N5" t="s">
        <v>199</v>
      </c>
      <c r="O5" t="s">
        <v>12</v>
      </c>
      <c r="P5" t="s">
        <v>52</v>
      </c>
      <c r="Q5" t="s">
        <v>123</v>
      </c>
      <c r="S5" t="s">
        <v>200</v>
      </c>
      <c r="T5" t="s">
        <v>207</v>
      </c>
      <c r="W5" t="s">
        <v>1073</v>
      </c>
      <c r="X5" t="s">
        <v>182</v>
      </c>
      <c r="Z5" t="s">
        <v>196</v>
      </c>
      <c r="AA5" t="s">
        <v>209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>
  <sheetPr codeName="Plan23"/>
  <dimension ref="A1:AA4"/>
  <sheetViews>
    <sheetView workbookViewId="0">
      <selection sqref="A1:XFD1048576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1078</v>
      </c>
      <c r="B2" s="1">
        <v>41467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H2" t="s">
        <v>116</v>
      </c>
      <c r="I2" t="s">
        <v>1079</v>
      </c>
      <c r="J2" t="s">
        <v>118</v>
      </c>
      <c r="K2" t="s">
        <v>119</v>
      </c>
      <c r="L2" t="s">
        <v>120</v>
      </c>
      <c r="M2" t="s">
        <v>121</v>
      </c>
      <c r="N2" t="s">
        <v>122</v>
      </c>
      <c r="P2" t="s">
        <v>54</v>
      </c>
      <c r="Q2" t="s">
        <v>211</v>
      </c>
      <c r="R2" t="s">
        <v>135</v>
      </c>
      <c r="S2" t="s">
        <v>143</v>
      </c>
      <c r="T2" t="s">
        <v>1080</v>
      </c>
      <c r="U2" t="s">
        <v>127</v>
      </c>
      <c r="V2" t="s">
        <v>1081</v>
      </c>
      <c r="W2" t="s">
        <v>1082</v>
      </c>
      <c r="X2" t="s">
        <v>588</v>
      </c>
      <c r="Y2" t="s">
        <v>1081</v>
      </c>
      <c r="Z2" t="s">
        <v>218</v>
      </c>
      <c r="AA2" t="s">
        <v>164</v>
      </c>
    </row>
    <row r="3" spans="1:27">
      <c r="A3" t="s">
        <v>1083</v>
      </c>
      <c r="B3" s="1">
        <v>41467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H3" t="s">
        <v>116</v>
      </c>
      <c r="I3" t="s">
        <v>1084</v>
      </c>
      <c r="J3" t="s">
        <v>118</v>
      </c>
      <c r="K3" t="s">
        <v>119</v>
      </c>
      <c r="L3" t="s">
        <v>120</v>
      </c>
      <c r="M3" t="s">
        <v>121</v>
      </c>
      <c r="N3" t="s">
        <v>122</v>
      </c>
      <c r="P3" t="s">
        <v>53</v>
      </c>
      <c r="Q3" t="s">
        <v>309</v>
      </c>
      <c r="R3" t="s">
        <v>135</v>
      </c>
      <c r="S3" t="s">
        <v>125</v>
      </c>
      <c r="T3" t="s">
        <v>126</v>
      </c>
      <c r="V3" t="s">
        <v>231</v>
      </c>
      <c r="W3" t="s">
        <v>429</v>
      </c>
      <c r="X3" t="s">
        <v>1038</v>
      </c>
      <c r="Y3" t="s">
        <v>231</v>
      </c>
      <c r="Z3" t="s">
        <v>340</v>
      </c>
      <c r="AA3" t="s">
        <v>327</v>
      </c>
    </row>
    <row r="4" spans="1:27">
      <c r="A4" t="s">
        <v>1085</v>
      </c>
      <c r="B4" s="1">
        <v>41467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H4" t="s">
        <v>116</v>
      </c>
      <c r="I4" t="s">
        <v>1086</v>
      </c>
      <c r="J4" t="s">
        <v>118</v>
      </c>
      <c r="K4" t="s">
        <v>119</v>
      </c>
      <c r="L4" t="s">
        <v>120</v>
      </c>
      <c r="M4" t="s">
        <v>121</v>
      </c>
      <c r="N4" t="s">
        <v>122</v>
      </c>
      <c r="P4" t="s">
        <v>53</v>
      </c>
      <c r="Q4" t="s">
        <v>1087</v>
      </c>
      <c r="R4" t="s">
        <v>135</v>
      </c>
      <c r="S4" t="s">
        <v>143</v>
      </c>
      <c r="T4" t="s">
        <v>912</v>
      </c>
      <c r="U4" t="s">
        <v>127</v>
      </c>
      <c r="V4" t="s">
        <v>128</v>
      </c>
      <c r="W4" t="s">
        <v>644</v>
      </c>
      <c r="X4" t="s">
        <v>1088</v>
      </c>
      <c r="Y4" t="s">
        <v>128</v>
      </c>
      <c r="Z4" t="s">
        <v>340</v>
      </c>
      <c r="AA4" t="s">
        <v>304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>
  <sheetPr codeName="Plan24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>
  <sheetPr codeName="Plan25"/>
  <dimension ref="A1:AA18"/>
  <sheetViews>
    <sheetView workbookViewId="0">
      <selection activeCell="F35" sqref="F35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1089</v>
      </c>
      <c r="B2" s="1">
        <v>41468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H2" t="s">
        <v>116</v>
      </c>
      <c r="I2" t="s">
        <v>1090</v>
      </c>
      <c r="J2" t="s">
        <v>118</v>
      </c>
      <c r="K2" t="s">
        <v>119</v>
      </c>
      <c r="L2" t="s">
        <v>120</v>
      </c>
      <c r="M2" t="s">
        <v>121</v>
      </c>
      <c r="N2" t="s">
        <v>122</v>
      </c>
      <c r="P2" t="s">
        <v>54</v>
      </c>
      <c r="Q2" t="s">
        <v>235</v>
      </c>
      <c r="R2" t="s">
        <v>135</v>
      </c>
      <c r="S2" t="s">
        <v>143</v>
      </c>
      <c r="T2" t="s">
        <v>1091</v>
      </c>
      <c r="V2" t="s">
        <v>128</v>
      </c>
      <c r="W2" t="s">
        <v>1092</v>
      </c>
      <c r="X2" t="s">
        <v>1093</v>
      </c>
      <c r="Y2" t="s">
        <v>128</v>
      </c>
      <c r="Z2" t="s">
        <v>131</v>
      </c>
      <c r="AA2" t="s">
        <v>164</v>
      </c>
    </row>
    <row r="3" spans="1:27">
      <c r="A3" t="s">
        <v>1094</v>
      </c>
      <c r="B3" s="1">
        <v>41468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H3" t="s">
        <v>116</v>
      </c>
      <c r="I3" t="s">
        <v>1095</v>
      </c>
      <c r="J3" t="s">
        <v>118</v>
      </c>
      <c r="K3" t="s">
        <v>119</v>
      </c>
      <c r="L3" t="s">
        <v>120</v>
      </c>
      <c r="M3" t="s">
        <v>121</v>
      </c>
      <c r="N3" t="s">
        <v>122</v>
      </c>
      <c r="P3" t="s">
        <v>54</v>
      </c>
      <c r="Q3" t="s">
        <v>235</v>
      </c>
      <c r="R3" t="s">
        <v>1096</v>
      </c>
      <c r="S3" t="s">
        <v>143</v>
      </c>
      <c r="T3" t="s">
        <v>912</v>
      </c>
      <c r="U3" t="s">
        <v>127</v>
      </c>
      <c r="V3" t="s">
        <v>128</v>
      </c>
      <c r="W3" t="s">
        <v>581</v>
      </c>
      <c r="X3" t="s">
        <v>1038</v>
      </c>
      <c r="Y3" t="s">
        <v>128</v>
      </c>
      <c r="Z3" t="s">
        <v>281</v>
      </c>
      <c r="AA3" t="s">
        <v>138</v>
      </c>
    </row>
    <row r="4" spans="1:27">
      <c r="A4" t="s">
        <v>1097</v>
      </c>
      <c r="B4" s="1">
        <v>41468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H4" t="s">
        <v>116</v>
      </c>
      <c r="I4" t="s">
        <v>192</v>
      </c>
      <c r="J4" t="s">
        <v>118</v>
      </c>
      <c r="K4" t="s">
        <v>119</v>
      </c>
      <c r="L4" t="s">
        <v>120</v>
      </c>
      <c r="M4" t="s">
        <v>121</v>
      </c>
      <c r="N4" t="s">
        <v>122</v>
      </c>
      <c r="P4" t="s">
        <v>52</v>
      </c>
      <c r="Q4" t="s">
        <v>306</v>
      </c>
      <c r="R4" t="s">
        <v>135</v>
      </c>
      <c r="S4" t="s">
        <v>1098</v>
      </c>
      <c r="T4" t="s">
        <v>290</v>
      </c>
      <c r="U4" t="s">
        <v>155</v>
      </c>
      <c r="V4" t="s">
        <v>170</v>
      </c>
      <c r="W4" t="s">
        <v>1099</v>
      </c>
      <c r="X4" t="s">
        <v>1093</v>
      </c>
      <c r="Y4" t="s">
        <v>170</v>
      </c>
      <c r="Z4" t="s">
        <v>196</v>
      </c>
      <c r="AA4" t="s">
        <v>268</v>
      </c>
    </row>
    <row r="5" spans="1:27">
      <c r="A5" t="s">
        <v>1100</v>
      </c>
      <c r="B5" s="1">
        <v>41468</v>
      </c>
      <c r="C5" t="s">
        <v>111</v>
      </c>
      <c r="D5" t="s">
        <v>112</v>
      </c>
      <c r="E5" t="s">
        <v>113</v>
      </c>
      <c r="F5" t="s">
        <v>114</v>
      </c>
      <c r="G5" t="s">
        <v>115</v>
      </c>
      <c r="H5" t="s">
        <v>116</v>
      </c>
      <c r="I5" t="s">
        <v>1101</v>
      </c>
      <c r="J5" t="s">
        <v>118</v>
      </c>
      <c r="K5" t="s">
        <v>119</v>
      </c>
      <c r="L5" t="s">
        <v>120</v>
      </c>
      <c r="M5" t="s">
        <v>121</v>
      </c>
      <c r="N5" t="s">
        <v>122</v>
      </c>
      <c r="P5" t="s">
        <v>54</v>
      </c>
      <c r="Q5" t="s">
        <v>1102</v>
      </c>
      <c r="R5" t="s">
        <v>1103</v>
      </c>
      <c r="S5" t="s">
        <v>295</v>
      </c>
      <c r="T5" t="s">
        <v>1104</v>
      </c>
      <c r="U5" t="s">
        <v>127</v>
      </c>
      <c r="V5" t="s">
        <v>231</v>
      </c>
      <c r="W5" t="s">
        <v>1105</v>
      </c>
      <c r="X5" t="s">
        <v>1038</v>
      </c>
      <c r="Y5" t="s">
        <v>231</v>
      </c>
      <c r="Z5" t="s">
        <v>137</v>
      </c>
      <c r="AA5" t="s">
        <v>138</v>
      </c>
    </row>
    <row r="6" spans="1:27">
      <c r="A6" t="s">
        <v>590</v>
      </c>
      <c r="B6" s="1">
        <v>41468</v>
      </c>
      <c r="C6" t="s">
        <v>111</v>
      </c>
      <c r="D6" t="s">
        <v>112</v>
      </c>
      <c r="E6" t="s">
        <v>113</v>
      </c>
      <c r="F6" t="s">
        <v>114</v>
      </c>
      <c r="G6" t="s">
        <v>115</v>
      </c>
      <c r="H6" t="s">
        <v>116</v>
      </c>
      <c r="I6" t="s">
        <v>579</v>
      </c>
      <c r="J6" t="s">
        <v>118</v>
      </c>
      <c r="K6" t="s">
        <v>119</v>
      </c>
      <c r="L6" t="s">
        <v>120</v>
      </c>
      <c r="M6" t="s">
        <v>121</v>
      </c>
      <c r="N6" t="s">
        <v>122</v>
      </c>
      <c r="P6" t="s">
        <v>53</v>
      </c>
      <c r="Q6" t="s">
        <v>580</v>
      </c>
      <c r="R6" t="s">
        <v>135</v>
      </c>
      <c r="S6" t="s">
        <v>200</v>
      </c>
      <c r="T6" t="s">
        <v>582</v>
      </c>
      <c r="U6" t="s">
        <v>286</v>
      </c>
      <c r="V6" t="s">
        <v>128</v>
      </c>
      <c r="W6" t="s">
        <v>331</v>
      </c>
      <c r="X6" t="s">
        <v>349</v>
      </c>
      <c r="Y6" t="s">
        <v>128</v>
      </c>
      <c r="Z6" t="s">
        <v>196</v>
      </c>
      <c r="AA6" t="s">
        <v>138</v>
      </c>
    </row>
    <row r="7" spans="1:27">
      <c r="A7" t="s">
        <v>1106</v>
      </c>
      <c r="B7" s="1">
        <v>41468</v>
      </c>
      <c r="C7" t="s">
        <v>111</v>
      </c>
      <c r="D7" t="s">
        <v>112</v>
      </c>
      <c r="E7" t="s">
        <v>113</v>
      </c>
      <c r="F7" t="s">
        <v>114</v>
      </c>
      <c r="G7" t="s">
        <v>115</v>
      </c>
      <c r="I7" t="s">
        <v>1107</v>
      </c>
      <c r="J7" t="s">
        <v>118</v>
      </c>
      <c r="K7" t="s">
        <v>119</v>
      </c>
      <c r="L7" t="s">
        <v>120</v>
      </c>
      <c r="M7" t="s">
        <v>121</v>
      </c>
      <c r="N7" t="s">
        <v>199</v>
      </c>
      <c r="O7" t="s">
        <v>1108</v>
      </c>
      <c r="P7" t="s">
        <v>52</v>
      </c>
      <c r="Q7" t="s">
        <v>123</v>
      </c>
      <c r="S7" t="s">
        <v>168</v>
      </c>
      <c r="T7" t="s">
        <v>169</v>
      </c>
      <c r="W7" t="s">
        <v>371</v>
      </c>
      <c r="X7" t="s">
        <v>1109</v>
      </c>
      <c r="Z7" t="s">
        <v>1110</v>
      </c>
      <c r="AA7" t="s">
        <v>226</v>
      </c>
    </row>
    <row r="8" spans="1:27">
      <c r="A8" t="s">
        <v>1111</v>
      </c>
      <c r="B8" s="1">
        <v>41468</v>
      </c>
      <c r="C8" t="s">
        <v>111</v>
      </c>
      <c r="D8" t="s">
        <v>112</v>
      </c>
      <c r="E8" t="s">
        <v>113</v>
      </c>
      <c r="F8" t="s">
        <v>114</v>
      </c>
      <c r="G8" t="s">
        <v>115</v>
      </c>
      <c r="I8" t="s">
        <v>1112</v>
      </c>
      <c r="J8" t="s">
        <v>118</v>
      </c>
      <c r="K8" t="s">
        <v>119</v>
      </c>
      <c r="L8" t="s">
        <v>120</v>
      </c>
      <c r="M8" t="s">
        <v>121</v>
      </c>
      <c r="N8" t="s">
        <v>199</v>
      </c>
      <c r="O8" t="s">
        <v>7</v>
      </c>
      <c r="P8" t="s">
        <v>52</v>
      </c>
      <c r="Q8" t="s">
        <v>123</v>
      </c>
      <c r="S8" t="s">
        <v>168</v>
      </c>
      <c r="T8" t="s">
        <v>1113</v>
      </c>
      <c r="W8" t="s">
        <v>1114</v>
      </c>
      <c r="X8" t="s">
        <v>1109</v>
      </c>
      <c r="Z8" t="s">
        <v>1115</v>
      </c>
      <c r="AA8" t="s">
        <v>655</v>
      </c>
    </row>
    <row r="9" spans="1:27">
      <c r="A9" t="s">
        <v>1116</v>
      </c>
      <c r="B9" s="1">
        <v>41468</v>
      </c>
      <c r="C9" t="s">
        <v>111</v>
      </c>
      <c r="D9" t="s">
        <v>112</v>
      </c>
      <c r="E9" t="s">
        <v>113</v>
      </c>
      <c r="F9" t="s">
        <v>114</v>
      </c>
      <c r="G9" t="s">
        <v>115</v>
      </c>
      <c r="I9" t="s">
        <v>1117</v>
      </c>
      <c r="J9" t="s">
        <v>118</v>
      </c>
      <c r="K9" t="s">
        <v>119</v>
      </c>
      <c r="L9" t="s">
        <v>120</v>
      </c>
      <c r="M9" t="s">
        <v>121</v>
      </c>
      <c r="N9" t="s">
        <v>199</v>
      </c>
      <c r="O9" t="s">
        <v>6</v>
      </c>
      <c r="P9" t="s">
        <v>52</v>
      </c>
      <c r="Q9" t="s">
        <v>123</v>
      </c>
      <c r="S9" t="s">
        <v>168</v>
      </c>
      <c r="T9" t="s">
        <v>169</v>
      </c>
      <c r="W9" t="s">
        <v>371</v>
      </c>
      <c r="X9" t="s">
        <v>1109</v>
      </c>
      <c r="Z9" t="s">
        <v>225</v>
      </c>
      <c r="AA9" t="s">
        <v>226</v>
      </c>
    </row>
    <row r="10" spans="1:27">
      <c r="A10" t="s">
        <v>1118</v>
      </c>
      <c r="B10" s="1">
        <v>41468</v>
      </c>
      <c r="C10" t="s">
        <v>111</v>
      </c>
      <c r="D10" t="s">
        <v>112</v>
      </c>
      <c r="E10" t="s">
        <v>113</v>
      </c>
      <c r="F10" t="s">
        <v>114</v>
      </c>
      <c r="G10" t="s">
        <v>115</v>
      </c>
      <c r="I10" t="s">
        <v>1119</v>
      </c>
      <c r="J10" t="s">
        <v>118</v>
      </c>
      <c r="K10" t="s">
        <v>119</v>
      </c>
      <c r="L10" t="s">
        <v>120</v>
      </c>
      <c r="M10" t="s">
        <v>121</v>
      </c>
      <c r="N10" t="s">
        <v>199</v>
      </c>
      <c r="O10" t="s">
        <v>3</v>
      </c>
      <c r="P10" t="s">
        <v>52</v>
      </c>
      <c r="Q10" t="s">
        <v>123</v>
      </c>
      <c r="S10" t="s">
        <v>168</v>
      </c>
      <c r="T10" t="s">
        <v>1113</v>
      </c>
      <c r="W10" t="s">
        <v>1114</v>
      </c>
      <c r="X10" t="s">
        <v>1109</v>
      </c>
      <c r="Z10" t="s">
        <v>137</v>
      </c>
      <c r="AA10" t="s">
        <v>655</v>
      </c>
    </row>
    <row r="11" spans="1:27">
      <c r="A11" t="s">
        <v>1120</v>
      </c>
      <c r="B11" s="1">
        <v>41468</v>
      </c>
      <c r="C11" t="s">
        <v>111</v>
      </c>
      <c r="D11" t="s">
        <v>112</v>
      </c>
      <c r="E11" t="s">
        <v>113</v>
      </c>
      <c r="F11" t="s">
        <v>114</v>
      </c>
      <c r="G11" t="s">
        <v>115</v>
      </c>
      <c r="I11" t="s">
        <v>1121</v>
      </c>
      <c r="J11" t="s">
        <v>118</v>
      </c>
      <c r="K11" t="s">
        <v>119</v>
      </c>
      <c r="L11" t="s">
        <v>120</v>
      </c>
      <c r="M11" t="s">
        <v>121</v>
      </c>
      <c r="N11" t="s">
        <v>199</v>
      </c>
      <c r="O11" t="s">
        <v>10</v>
      </c>
      <c r="P11" t="s">
        <v>52</v>
      </c>
      <c r="Q11" t="s">
        <v>123</v>
      </c>
      <c r="S11" t="s">
        <v>168</v>
      </c>
      <c r="T11" t="s">
        <v>169</v>
      </c>
      <c r="W11" t="s">
        <v>371</v>
      </c>
      <c r="X11" t="s">
        <v>1109</v>
      </c>
      <c r="Z11" t="s">
        <v>251</v>
      </c>
      <c r="AA11" t="s">
        <v>226</v>
      </c>
    </row>
    <row r="12" spans="1:27">
      <c r="A12" t="s">
        <v>1122</v>
      </c>
      <c r="B12" s="1">
        <v>41468</v>
      </c>
      <c r="C12" t="s">
        <v>111</v>
      </c>
      <c r="D12" t="s">
        <v>112</v>
      </c>
      <c r="E12" t="s">
        <v>113</v>
      </c>
      <c r="F12" t="s">
        <v>114</v>
      </c>
      <c r="G12" t="s">
        <v>115</v>
      </c>
      <c r="I12" t="s">
        <v>1123</v>
      </c>
      <c r="J12" t="s">
        <v>118</v>
      </c>
      <c r="K12" t="s">
        <v>119</v>
      </c>
      <c r="L12" t="s">
        <v>120</v>
      </c>
      <c r="M12" t="s">
        <v>121</v>
      </c>
      <c r="N12" t="s">
        <v>199</v>
      </c>
      <c r="O12" t="s">
        <v>7</v>
      </c>
      <c r="P12" t="s">
        <v>52</v>
      </c>
      <c r="Q12" t="s">
        <v>123</v>
      </c>
      <c r="S12" t="s">
        <v>168</v>
      </c>
      <c r="T12" t="s">
        <v>1113</v>
      </c>
      <c r="W12" t="s">
        <v>1114</v>
      </c>
      <c r="X12" t="s">
        <v>1109</v>
      </c>
      <c r="Z12" t="s">
        <v>148</v>
      </c>
      <c r="AA12" t="s">
        <v>655</v>
      </c>
    </row>
    <row r="13" spans="1:27">
      <c r="A13" t="s">
        <v>1124</v>
      </c>
      <c r="B13" s="1">
        <v>41468</v>
      </c>
      <c r="C13" t="s">
        <v>111</v>
      </c>
      <c r="D13" t="s">
        <v>112</v>
      </c>
      <c r="E13" t="s">
        <v>113</v>
      </c>
      <c r="F13" t="s">
        <v>114</v>
      </c>
      <c r="G13" t="s">
        <v>115</v>
      </c>
      <c r="I13" t="s">
        <v>1125</v>
      </c>
      <c r="J13" t="s">
        <v>118</v>
      </c>
      <c r="K13" t="s">
        <v>119</v>
      </c>
      <c r="L13" t="s">
        <v>120</v>
      </c>
      <c r="M13" t="s">
        <v>121</v>
      </c>
      <c r="N13" t="s">
        <v>199</v>
      </c>
      <c r="O13" t="s">
        <v>7</v>
      </c>
      <c r="P13" t="s">
        <v>52</v>
      </c>
      <c r="Q13" t="s">
        <v>123</v>
      </c>
      <c r="S13" t="s">
        <v>168</v>
      </c>
      <c r="T13" t="s">
        <v>1113</v>
      </c>
      <c r="W13" t="s">
        <v>1114</v>
      </c>
      <c r="X13" t="s">
        <v>1109</v>
      </c>
      <c r="Z13" t="s">
        <v>218</v>
      </c>
      <c r="AA13" t="s">
        <v>655</v>
      </c>
    </row>
    <row r="14" spans="1:27">
      <c r="A14" t="s">
        <v>1126</v>
      </c>
      <c r="B14" s="1">
        <v>41468</v>
      </c>
      <c r="C14" t="s">
        <v>111</v>
      </c>
      <c r="D14" t="s">
        <v>112</v>
      </c>
      <c r="E14" t="s">
        <v>113</v>
      </c>
      <c r="F14" t="s">
        <v>114</v>
      </c>
      <c r="G14" t="s">
        <v>115</v>
      </c>
      <c r="I14" t="s">
        <v>1127</v>
      </c>
      <c r="J14" t="s">
        <v>118</v>
      </c>
      <c r="K14" t="s">
        <v>119</v>
      </c>
      <c r="L14" t="s">
        <v>120</v>
      </c>
      <c r="M14" t="s">
        <v>121</v>
      </c>
      <c r="N14" t="s">
        <v>199</v>
      </c>
      <c r="O14" t="s">
        <v>6</v>
      </c>
      <c r="P14" t="s">
        <v>52</v>
      </c>
      <c r="Q14" t="s">
        <v>123</v>
      </c>
      <c r="S14" t="s">
        <v>168</v>
      </c>
      <c r="T14" t="s">
        <v>1113</v>
      </c>
      <c r="W14" t="s">
        <v>1114</v>
      </c>
      <c r="X14" t="s">
        <v>1109</v>
      </c>
      <c r="Z14" t="s">
        <v>1128</v>
      </c>
      <c r="AA14" t="s">
        <v>655</v>
      </c>
    </row>
    <row r="15" spans="1:27">
      <c r="A15" t="s">
        <v>1129</v>
      </c>
      <c r="B15" s="1">
        <v>41468</v>
      </c>
      <c r="C15" t="s">
        <v>111</v>
      </c>
      <c r="D15" t="s">
        <v>112</v>
      </c>
      <c r="E15" t="s">
        <v>113</v>
      </c>
      <c r="F15" t="s">
        <v>114</v>
      </c>
      <c r="G15" t="s">
        <v>115</v>
      </c>
      <c r="I15" t="s">
        <v>1130</v>
      </c>
      <c r="J15" t="s">
        <v>118</v>
      </c>
      <c r="K15" t="s">
        <v>119</v>
      </c>
      <c r="L15" t="s">
        <v>120</v>
      </c>
      <c r="M15" t="s">
        <v>121</v>
      </c>
      <c r="N15" t="s">
        <v>199</v>
      </c>
      <c r="O15" t="s">
        <v>7</v>
      </c>
      <c r="P15" t="s">
        <v>52</v>
      </c>
      <c r="Q15" t="s">
        <v>123</v>
      </c>
      <c r="S15" t="s">
        <v>168</v>
      </c>
      <c r="T15" t="s">
        <v>1113</v>
      </c>
      <c r="W15" t="s">
        <v>1114</v>
      </c>
      <c r="X15" t="s">
        <v>1109</v>
      </c>
      <c r="Z15" t="s">
        <v>251</v>
      </c>
      <c r="AA15" t="s">
        <v>655</v>
      </c>
    </row>
    <row r="16" spans="1:27">
      <c r="A16" t="s">
        <v>1131</v>
      </c>
      <c r="B16" s="1">
        <v>41468</v>
      </c>
      <c r="C16" t="s">
        <v>111</v>
      </c>
      <c r="D16" t="s">
        <v>112</v>
      </c>
      <c r="E16" t="s">
        <v>113</v>
      </c>
      <c r="F16" t="s">
        <v>114</v>
      </c>
      <c r="G16" t="s">
        <v>115</v>
      </c>
      <c r="I16" t="s">
        <v>1132</v>
      </c>
      <c r="J16" t="s">
        <v>118</v>
      </c>
      <c r="K16" t="s">
        <v>119</v>
      </c>
      <c r="L16" t="s">
        <v>120</v>
      </c>
      <c r="M16" t="s">
        <v>121</v>
      </c>
      <c r="N16" t="s">
        <v>199</v>
      </c>
      <c r="O16" t="s">
        <v>7</v>
      </c>
      <c r="P16" t="s">
        <v>54</v>
      </c>
      <c r="Q16" t="s">
        <v>235</v>
      </c>
      <c r="S16" t="s">
        <v>168</v>
      </c>
      <c r="T16" t="s">
        <v>1133</v>
      </c>
      <c r="W16" t="s">
        <v>1134</v>
      </c>
      <c r="X16" t="s">
        <v>267</v>
      </c>
      <c r="Z16" t="s">
        <v>148</v>
      </c>
      <c r="AA16" t="s">
        <v>1135</v>
      </c>
    </row>
    <row r="17" spans="1:27">
      <c r="A17" t="s">
        <v>1136</v>
      </c>
      <c r="B17" s="1">
        <v>41468</v>
      </c>
      <c r="C17" t="s">
        <v>111</v>
      </c>
      <c r="D17" t="s">
        <v>112</v>
      </c>
      <c r="E17" t="s">
        <v>113</v>
      </c>
      <c r="F17" t="s">
        <v>114</v>
      </c>
      <c r="G17" t="s">
        <v>115</v>
      </c>
      <c r="I17" t="s">
        <v>1137</v>
      </c>
      <c r="J17" t="s">
        <v>118</v>
      </c>
      <c r="K17" t="s">
        <v>119</v>
      </c>
      <c r="L17" t="s">
        <v>120</v>
      </c>
      <c r="M17" t="s">
        <v>121</v>
      </c>
      <c r="N17" t="s">
        <v>199</v>
      </c>
      <c r="O17" t="s">
        <v>3</v>
      </c>
      <c r="P17" t="s">
        <v>52</v>
      </c>
      <c r="Q17" t="s">
        <v>123</v>
      </c>
      <c r="S17" t="s">
        <v>168</v>
      </c>
      <c r="T17" t="s">
        <v>1113</v>
      </c>
      <c r="W17" t="s">
        <v>1114</v>
      </c>
      <c r="X17" t="s">
        <v>1109</v>
      </c>
      <c r="Z17" t="s">
        <v>251</v>
      </c>
      <c r="AA17" t="s">
        <v>655</v>
      </c>
    </row>
    <row r="18" spans="1:27">
      <c r="A18" t="s">
        <v>1138</v>
      </c>
      <c r="B18" s="1">
        <v>41468</v>
      </c>
      <c r="C18" t="s">
        <v>111</v>
      </c>
      <c r="D18" t="s">
        <v>112</v>
      </c>
      <c r="E18" t="s">
        <v>113</v>
      </c>
      <c r="F18" t="s">
        <v>114</v>
      </c>
      <c r="G18" t="s">
        <v>115</v>
      </c>
      <c r="I18" t="s">
        <v>1139</v>
      </c>
      <c r="J18" t="s">
        <v>118</v>
      </c>
      <c r="K18" t="s">
        <v>119</v>
      </c>
      <c r="L18" t="s">
        <v>120</v>
      </c>
      <c r="M18" t="s">
        <v>121</v>
      </c>
      <c r="N18" t="s">
        <v>199</v>
      </c>
      <c r="O18" t="s">
        <v>6</v>
      </c>
      <c r="P18" t="s">
        <v>52</v>
      </c>
      <c r="Q18" t="s">
        <v>123</v>
      </c>
      <c r="S18" t="s">
        <v>168</v>
      </c>
      <c r="T18" t="s">
        <v>1113</v>
      </c>
      <c r="W18" t="s">
        <v>1114</v>
      </c>
      <c r="X18" t="s">
        <v>1109</v>
      </c>
      <c r="Z18" t="s">
        <v>1140</v>
      </c>
      <c r="AA18" t="s">
        <v>655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>
  <sheetPr codeName="Plan26"/>
  <dimension ref="A1:AA13"/>
  <sheetViews>
    <sheetView workbookViewId="0">
      <selection activeCell="I3" sqref="I3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1118</v>
      </c>
      <c r="B2" s="1">
        <v>41468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I2" t="s">
        <v>1119</v>
      </c>
      <c r="J2" t="s">
        <v>118</v>
      </c>
      <c r="K2" t="s">
        <v>119</v>
      </c>
      <c r="L2" t="s">
        <v>120</v>
      </c>
      <c r="M2" t="s">
        <v>121</v>
      </c>
      <c r="N2" t="s">
        <v>199</v>
      </c>
      <c r="O2" t="s">
        <v>3</v>
      </c>
      <c r="P2" t="s">
        <v>52</v>
      </c>
      <c r="Q2" t="s">
        <v>123</v>
      </c>
      <c r="S2" t="s">
        <v>168</v>
      </c>
      <c r="T2" t="s">
        <v>1113</v>
      </c>
      <c r="W2" t="s">
        <v>1114</v>
      </c>
      <c r="X2" t="s">
        <v>1109</v>
      </c>
      <c r="Z2" t="s">
        <v>137</v>
      </c>
      <c r="AA2" t="s">
        <v>655</v>
      </c>
    </row>
    <row r="3" spans="1:27">
      <c r="A3" t="s">
        <v>1136</v>
      </c>
      <c r="B3" s="1">
        <v>41468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I3" t="s">
        <v>1137</v>
      </c>
      <c r="J3" t="s">
        <v>118</v>
      </c>
      <c r="K3" t="s">
        <v>119</v>
      </c>
      <c r="L3" t="s">
        <v>120</v>
      </c>
      <c r="M3" t="s">
        <v>121</v>
      </c>
      <c r="N3" t="s">
        <v>199</v>
      </c>
      <c r="O3" t="s">
        <v>3</v>
      </c>
      <c r="P3" t="s">
        <v>52</v>
      </c>
      <c r="Q3" t="s">
        <v>123</v>
      </c>
      <c r="S3" t="s">
        <v>168</v>
      </c>
      <c r="T3" t="s">
        <v>1113</v>
      </c>
      <c r="W3" t="s">
        <v>1114</v>
      </c>
      <c r="X3" t="s">
        <v>1109</v>
      </c>
      <c r="Z3" t="s">
        <v>251</v>
      </c>
      <c r="AA3" t="s">
        <v>655</v>
      </c>
    </row>
    <row r="4" spans="1:27">
      <c r="A4" t="s">
        <v>1116</v>
      </c>
      <c r="B4" s="1">
        <v>41468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I4" t="s">
        <v>1117</v>
      </c>
      <c r="J4" t="s">
        <v>118</v>
      </c>
      <c r="K4" t="s">
        <v>119</v>
      </c>
      <c r="L4" t="s">
        <v>120</v>
      </c>
      <c r="M4" t="s">
        <v>121</v>
      </c>
      <c r="N4" t="s">
        <v>199</v>
      </c>
      <c r="O4" t="s">
        <v>6</v>
      </c>
      <c r="P4" t="s">
        <v>52</v>
      </c>
      <c r="Q4" t="s">
        <v>123</v>
      </c>
      <c r="S4" t="s">
        <v>168</v>
      </c>
      <c r="T4" t="s">
        <v>169</v>
      </c>
      <c r="W4" t="s">
        <v>371</v>
      </c>
      <c r="X4" t="s">
        <v>1109</v>
      </c>
      <c r="Z4" t="s">
        <v>225</v>
      </c>
      <c r="AA4" t="s">
        <v>226</v>
      </c>
    </row>
    <row r="5" spans="1:27">
      <c r="A5" t="s">
        <v>1126</v>
      </c>
      <c r="B5" s="1">
        <v>41468</v>
      </c>
      <c r="C5" t="s">
        <v>111</v>
      </c>
      <c r="D5" t="s">
        <v>112</v>
      </c>
      <c r="E5" t="s">
        <v>113</v>
      </c>
      <c r="F5" t="s">
        <v>114</v>
      </c>
      <c r="G5" t="s">
        <v>115</v>
      </c>
      <c r="I5" t="s">
        <v>1127</v>
      </c>
      <c r="J5" t="s">
        <v>118</v>
      </c>
      <c r="K5" t="s">
        <v>119</v>
      </c>
      <c r="L5" t="s">
        <v>120</v>
      </c>
      <c r="M5" t="s">
        <v>121</v>
      </c>
      <c r="N5" t="s">
        <v>199</v>
      </c>
      <c r="O5" t="s">
        <v>6</v>
      </c>
      <c r="P5" t="s">
        <v>52</v>
      </c>
      <c r="Q5" t="s">
        <v>123</v>
      </c>
      <c r="S5" t="s">
        <v>168</v>
      </c>
      <c r="T5" t="s">
        <v>1113</v>
      </c>
      <c r="W5" t="s">
        <v>1114</v>
      </c>
      <c r="X5" t="s">
        <v>1109</v>
      </c>
      <c r="Z5" t="s">
        <v>1128</v>
      </c>
      <c r="AA5" t="s">
        <v>655</v>
      </c>
    </row>
    <row r="6" spans="1:27">
      <c r="A6" t="s">
        <v>1138</v>
      </c>
      <c r="B6" s="1">
        <v>41468</v>
      </c>
      <c r="C6" t="s">
        <v>111</v>
      </c>
      <c r="D6" t="s">
        <v>112</v>
      </c>
      <c r="E6" t="s">
        <v>113</v>
      </c>
      <c r="F6" t="s">
        <v>114</v>
      </c>
      <c r="G6" t="s">
        <v>115</v>
      </c>
      <c r="I6" t="s">
        <v>1139</v>
      </c>
      <c r="J6" t="s">
        <v>118</v>
      </c>
      <c r="K6" t="s">
        <v>119</v>
      </c>
      <c r="L6" t="s">
        <v>120</v>
      </c>
      <c r="M6" t="s">
        <v>121</v>
      </c>
      <c r="N6" t="s">
        <v>199</v>
      </c>
      <c r="O6" t="s">
        <v>6</v>
      </c>
      <c r="P6" t="s">
        <v>52</v>
      </c>
      <c r="Q6" t="s">
        <v>123</v>
      </c>
      <c r="S6" t="s">
        <v>168</v>
      </c>
      <c r="T6" t="s">
        <v>1113</v>
      </c>
      <c r="W6" t="s">
        <v>1114</v>
      </c>
      <c r="X6" t="s">
        <v>1109</v>
      </c>
      <c r="Z6" t="s">
        <v>1140</v>
      </c>
      <c r="AA6" t="s">
        <v>655</v>
      </c>
    </row>
    <row r="7" spans="1:27">
      <c r="A7" t="s">
        <v>1111</v>
      </c>
      <c r="B7" s="1">
        <v>41468</v>
      </c>
      <c r="C7" t="s">
        <v>111</v>
      </c>
      <c r="D7" t="s">
        <v>112</v>
      </c>
      <c r="E7" t="s">
        <v>113</v>
      </c>
      <c r="F7" t="s">
        <v>114</v>
      </c>
      <c r="G7" t="s">
        <v>115</v>
      </c>
      <c r="I7" t="s">
        <v>1112</v>
      </c>
      <c r="J7" t="s">
        <v>118</v>
      </c>
      <c r="K7" t="s">
        <v>119</v>
      </c>
      <c r="L7" t="s">
        <v>120</v>
      </c>
      <c r="M7" t="s">
        <v>121</v>
      </c>
      <c r="N7" t="s">
        <v>199</v>
      </c>
      <c r="O7" t="s">
        <v>7</v>
      </c>
      <c r="P7" t="s">
        <v>52</v>
      </c>
      <c r="Q7" t="s">
        <v>123</v>
      </c>
      <c r="S7" t="s">
        <v>168</v>
      </c>
      <c r="T7" t="s">
        <v>1113</v>
      </c>
      <c r="W7" t="s">
        <v>1114</v>
      </c>
      <c r="X7" t="s">
        <v>1109</v>
      </c>
      <c r="Z7" t="s">
        <v>1115</v>
      </c>
      <c r="AA7" t="s">
        <v>655</v>
      </c>
    </row>
    <row r="8" spans="1:27">
      <c r="A8" t="s">
        <v>1122</v>
      </c>
      <c r="B8" s="1">
        <v>41468</v>
      </c>
      <c r="C8" t="s">
        <v>111</v>
      </c>
      <c r="D8" t="s">
        <v>112</v>
      </c>
      <c r="E8" t="s">
        <v>113</v>
      </c>
      <c r="F8" t="s">
        <v>114</v>
      </c>
      <c r="G8" t="s">
        <v>115</v>
      </c>
      <c r="I8" t="s">
        <v>1123</v>
      </c>
      <c r="J8" t="s">
        <v>118</v>
      </c>
      <c r="K8" t="s">
        <v>119</v>
      </c>
      <c r="L8" t="s">
        <v>120</v>
      </c>
      <c r="M8" t="s">
        <v>121</v>
      </c>
      <c r="N8" t="s">
        <v>199</v>
      </c>
      <c r="O8" t="s">
        <v>7</v>
      </c>
      <c r="P8" t="s">
        <v>52</v>
      </c>
      <c r="Q8" t="s">
        <v>123</v>
      </c>
      <c r="S8" t="s">
        <v>168</v>
      </c>
      <c r="T8" t="s">
        <v>1113</v>
      </c>
      <c r="W8" t="s">
        <v>1114</v>
      </c>
      <c r="X8" t="s">
        <v>1109</v>
      </c>
      <c r="Z8" t="s">
        <v>148</v>
      </c>
      <c r="AA8" t="s">
        <v>655</v>
      </c>
    </row>
    <row r="9" spans="1:27">
      <c r="A9" t="s">
        <v>1124</v>
      </c>
      <c r="B9" s="1">
        <v>41468</v>
      </c>
      <c r="C9" t="s">
        <v>111</v>
      </c>
      <c r="D9" t="s">
        <v>112</v>
      </c>
      <c r="E9" t="s">
        <v>113</v>
      </c>
      <c r="F9" t="s">
        <v>114</v>
      </c>
      <c r="G9" t="s">
        <v>115</v>
      </c>
      <c r="I9" t="s">
        <v>1125</v>
      </c>
      <c r="J9" t="s">
        <v>118</v>
      </c>
      <c r="K9" t="s">
        <v>119</v>
      </c>
      <c r="L9" t="s">
        <v>120</v>
      </c>
      <c r="M9" t="s">
        <v>121</v>
      </c>
      <c r="N9" t="s">
        <v>199</v>
      </c>
      <c r="O9" t="s">
        <v>7</v>
      </c>
      <c r="P9" t="s">
        <v>52</v>
      </c>
      <c r="Q9" t="s">
        <v>123</v>
      </c>
      <c r="S9" t="s">
        <v>168</v>
      </c>
      <c r="T9" t="s">
        <v>1113</v>
      </c>
      <c r="W9" t="s">
        <v>1114</v>
      </c>
      <c r="X9" t="s">
        <v>1109</v>
      </c>
      <c r="Z9" t="s">
        <v>218</v>
      </c>
      <c r="AA9" t="s">
        <v>655</v>
      </c>
    </row>
    <row r="10" spans="1:27">
      <c r="A10" t="s">
        <v>1129</v>
      </c>
      <c r="B10" s="1">
        <v>41468</v>
      </c>
      <c r="C10" t="s">
        <v>111</v>
      </c>
      <c r="D10" t="s">
        <v>112</v>
      </c>
      <c r="E10" t="s">
        <v>113</v>
      </c>
      <c r="F10" t="s">
        <v>114</v>
      </c>
      <c r="G10" t="s">
        <v>115</v>
      </c>
      <c r="I10" t="s">
        <v>1130</v>
      </c>
      <c r="J10" t="s">
        <v>118</v>
      </c>
      <c r="K10" t="s">
        <v>119</v>
      </c>
      <c r="L10" t="s">
        <v>120</v>
      </c>
      <c r="M10" t="s">
        <v>121</v>
      </c>
      <c r="N10" t="s">
        <v>199</v>
      </c>
      <c r="O10" t="s">
        <v>7</v>
      </c>
      <c r="P10" t="s">
        <v>52</v>
      </c>
      <c r="Q10" t="s">
        <v>123</v>
      </c>
      <c r="S10" t="s">
        <v>168</v>
      </c>
      <c r="T10" t="s">
        <v>1113</v>
      </c>
      <c r="W10" t="s">
        <v>1114</v>
      </c>
      <c r="X10" t="s">
        <v>1109</v>
      </c>
      <c r="Z10" t="s">
        <v>251</v>
      </c>
      <c r="AA10" t="s">
        <v>655</v>
      </c>
    </row>
    <row r="11" spans="1:27">
      <c r="A11" t="s">
        <v>1131</v>
      </c>
      <c r="B11" s="1">
        <v>41468</v>
      </c>
      <c r="C11" t="s">
        <v>111</v>
      </c>
      <c r="D11" t="s">
        <v>112</v>
      </c>
      <c r="E11" t="s">
        <v>113</v>
      </c>
      <c r="F11" t="s">
        <v>114</v>
      </c>
      <c r="G11" t="s">
        <v>115</v>
      </c>
      <c r="I11" t="s">
        <v>1132</v>
      </c>
      <c r="J11" t="s">
        <v>118</v>
      </c>
      <c r="K11" t="s">
        <v>119</v>
      </c>
      <c r="L11" t="s">
        <v>120</v>
      </c>
      <c r="M11" t="s">
        <v>121</v>
      </c>
      <c r="N11" t="s">
        <v>199</v>
      </c>
      <c r="O11" t="s">
        <v>7</v>
      </c>
      <c r="P11" t="s">
        <v>54</v>
      </c>
      <c r="Q11" t="s">
        <v>235</v>
      </c>
      <c r="S11" t="s">
        <v>168</v>
      </c>
      <c r="T11" t="s">
        <v>1133</v>
      </c>
      <c r="W11" t="s">
        <v>1134</v>
      </c>
      <c r="X11" t="s">
        <v>267</v>
      </c>
      <c r="Z11" t="s">
        <v>148</v>
      </c>
      <c r="AA11" t="s">
        <v>1135</v>
      </c>
    </row>
    <row r="12" spans="1:27">
      <c r="A12" t="s">
        <v>1120</v>
      </c>
      <c r="B12" s="1">
        <v>41468</v>
      </c>
      <c r="C12" t="s">
        <v>111</v>
      </c>
      <c r="D12" t="s">
        <v>112</v>
      </c>
      <c r="E12" t="s">
        <v>113</v>
      </c>
      <c r="F12" t="s">
        <v>114</v>
      </c>
      <c r="G12" t="s">
        <v>115</v>
      </c>
      <c r="I12" t="s">
        <v>1121</v>
      </c>
      <c r="J12" t="s">
        <v>118</v>
      </c>
      <c r="K12" t="s">
        <v>119</v>
      </c>
      <c r="L12" t="s">
        <v>120</v>
      </c>
      <c r="M12" t="s">
        <v>121</v>
      </c>
      <c r="N12" t="s">
        <v>199</v>
      </c>
      <c r="O12" t="s">
        <v>10</v>
      </c>
      <c r="P12" t="s">
        <v>52</v>
      </c>
      <c r="Q12" t="s">
        <v>123</v>
      </c>
      <c r="S12" t="s">
        <v>168</v>
      </c>
      <c r="T12" t="s">
        <v>169</v>
      </c>
      <c r="W12" t="s">
        <v>371</v>
      </c>
      <c r="X12" t="s">
        <v>1109</v>
      </c>
      <c r="Z12" t="s">
        <v>251</v>
      </c>
      <c r="AA12" t="s">
        <v>226</v>
      </c>
    </row>
    <row r="13" spans="1:27">
      <c r="A13" t="s">
        <v>1106</v>
      </c>
      <c r="B13" s="1">
        <v>41468</v>
      </c>
      <c r="C13" t="s">
        <v>111</v>
      </c>
      <c r="D13" t="s">
        <v>112</v>
      </c>
      <c r="E13" t="s">
        <v>113</v>
      </c>
      <c r="F13" t="s">
        <v>114</v>
      </c>
      <c r="G13" t="s">
        <v>115</v>
      </c>
      <c r="I13" t="s">
        <v>1107</v>
      </c>
      <c r="J13" t="s">
        <v>118</v>
      </c>
      <c r="K13" t="s">
        <v>119</v>
      </c>
      <c r="L13" t="s">
        <v>120</v>
      </c>
      <c r="M13" t="s">
        <v>121</v>
      </c>
      <c r="N13" t="s">
        <v>199</v>
      </c>
      <c r="O13" t="s">
        <v>1108</v>
      </c>
      <c r="P13" t="s">
        <v>52</v>
      </c>
      <c r="Q13" t="s">
        <v>123</v>
      </c>
      <c r="S13" t="s">
        <v>168</v>
      </c>
      <c r="T13" t="s">
        <v>169</v>
      </c>
      <c r="W13" t="s">
        <v>371</v>
      </c>
      <c r="X13" t="s">
        <v>1109</v>
      </c>
      <c r="Z13" t="s">
        <v>1110</v>
      </c>
      <c r="AA13" t="s">
        <v>226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>
  <sheetPr codeName="Plan27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>
  <sheetPr codeName="Plan28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>
  <sheetPr codeName="Plan29"/>
  <dimension ref="A1:AA15"/>
  <sheetViews>
    <sheetView workbookViewId="0">
      <selection activeCell="I2" sqref="I2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1141</v>
      </c>
      <c r="B2" s="1">
        <v>41470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H2" t="s">
        <v>116</v>
      </c>
      <c r="I2" t="s">
        <v>1142</v>
      </c>
      <c r="J2" t="s">
        <v>118</v>
      </c>
      <c r="K2" t="s">
        <v>119</v>
      </c>
      <c r="L2" t="s">
        <v>120</v>
      </c>
      <c r="M2" t="s">
        <v>121</v>
      </c>
      <c r="N2" t="s">
        <v>122</v>
      </c>
      <c r="P2" t="s">
        <v>53</v>
      </c>
      <c r="Q2" t="s">
        <v>1143</v>
      </c>
      <c r="R2" t="s">
        <v>135</v>
      </c>
      <c r="S2" t="s">
        <v>168</v>
      </c>
      <c r="T2" t="s">
        <v>1144</v>
      </c>
      <c r="U2" t="s">
        <v>145</v>
      </c>
      <c r="V2" t="s">
        <v>128</v>
      </c>
      <c r="W2" t="s">
        <v>429</v>
      </c>
      <c r="X2" t="s">
        <v>1109</v>
      </c>
      <c r="Y2" t="s">
        <v>128</v>
      </c>
      <c r="Z2" t="s">
        <v>1128</v>
      </c>
      <c r="AA2" t="s">
        <v>327</v>
      </c>
    </row>
    <row r="3" spans="1:27">
      <c r="A3" t="s">
        <v>1145</v>
      </c>
      <c r="B3" s="1">
        <v>41470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H3" t="s">
        <v>116</v>
      </c>
      <c r="I3" t="s">
        <v>1146</v>
      </c>
      <c r="J3" t="s">
        <v>118</v>
      </c>
      <c r="K3" t="s">
        <v>119</v>
      </c>
      <c r="L3" t="s">
        <v>120</v>
      </c>
      <c r="M3" t="s">
        <v>121</v>
      </c>
      <c r="N3" t="s">
        <v>122</v>
      </c>
      <c r="P3" t="s">
        <v>53</v>
      </c>
      <c r="Q3" t="s">
        <v>214</v>
      </c>
      <c r="R3" t="s">
        <v>135</v>
      </c>
      <c r="S3" t="s">
        <v>125</v>
      </c>
      <c r="T3" t="s">
        <v>126</v>
      </c>
      <c r="U3" t="s">
        <v>145</v>
      </c>
      <c r="V3" t="s">
        <v>128</v>
      </c>
      <c r="W3" t="s">
        <v>129</v>
      </c>
      <c r="X3" t="s">
        <v>182</v>
      </c>
      <c r="Y3" t="s">
        <v>128</v>
      </c>
      <c r="Z3" t="s">
        <v>218</v>
      </c>
      <c r="AA3" t="s">
        <v>132</v>
      </c>
    </row>
    <row r="4" spans="1:27">
      <c r="A4" t="s">
        <v>341</v>
      </c>
      <c r="B4" s="1">
        <v>41470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H4" t="s">
        <v>176</v>
      </c>
      <c r="I4" t="s">
        <v>342</v>
      </c>
      <c r="J4" t="s">
        <v>118</v>
      </c>
      <c r="K4" t="s">
        <v>119</v>
      </c>
      <c r="L4" t="s">
        <v>120</v>
      </c>
      <c r="M4" t="s">
        <v>121</v>
      </c>
      <c r="N4" t="s">
        <v>122</v>
      </c>
      <c r="P4" t="s">
        <v>52</v>
      </c>
      <c r="Q4" t="s">
        <v>343</v>
      </c>
      <c r="R4" t="s">
        <v>1147</v>
      </c>
      <c r="S4" t="s">
        <v>143</v>
      </c>
      <c r="T4" t="s">
        <v>344</v>
      </c>
      <c r="U4" t="s">
        <v>286</v>
      </c>
      <c r="V4" t="s">
        <v>128</v>
      </c>
      <c r="W4" t="s">
        <v>1148</v>
      </c>
      <c r="X4" t="s">
        <v>336</v>
      </c>
      <c r="Y4" t="s">
        <v>128</v>
      </c>
      <c r="Z4" t="s">
        <v>196</v>
      </c>
      <c r="AA4" t="s">
        <v>164</v>
      </c>
    </row>
    <row r="5" spans="1:27">
      <c r="A5" t="s">
        <v>1149</v>
      </c>
      <c r="B5" s="1">
        <v>41470</v>
      </c>
      <c r="C5" t="s">
        <v>111</v>
      </c>
      <c r="D5" t="s">
        <v>112</v>
      </c>
      <c r="E5" t="s">
        <v>113</v>
      </c>
      <c r="F5" t="s">
        <v>114</v>
      </c>
      <c r="G5" t="s">
        <v>115</v>
      </c>
      <c r="H5" t="s">
        <v>116</v>
      </c>
      <c r="I5" t="s">
        <v>1150</v>
      </c>
      <c r="J5" t="s">
        <v>118</v>
      </c>
      <c r="K5" t="s">
        <v>119</v>
      </c>
      <c r="L5" t="s">
        <v>120</v>
      </c>
      <c r="M5" t="s">
        <v>121</v>
      </c>
      <c r="N5" t="s">
        <v>122</v>
      </c>
      <c r="P5" t="s">
        <v>52</v>
      </c>
      <c r="Q5" t="s">
        <v>1151</v>
      </c>
      <c r="R5" t="s">
        <v>1152</v>
      </c>
      <c r="S5" t="s">
        <v>143</v>
      </c>
      <c r="T5" t="s">
        <v>1153</v>
      </c>
      <c r="U5" t="s">
        <v>127</v>
      </c>
      <c r="V5" t="s">
        <v>231</v>
      </c>
      <c r="W5" t="s">
        <v>1154</v>
      </c>
      <c r="X5" t="s">
        <v>1093</v>
      </c>
      <c r="Y5" t="s">
        <v>231</v>
      </c>
      <c r="Z5" t="s">
        <v>458</v>
      </c>
      <c r="AA5" t="s">
        <v>164</v>
      </c>
    </row>
    <row r="6" spans="1:27">
      <c r="A6" t="s">
        <v>1155</v>
      </c>
      <c r="B6" s="1">
        <v>41470</v>
      </c>
      <c r="C6" t="s">
        <v>111</v>
      </c>
      <c r="D6" t="s">
        <v>112</v>
      </c>
      <c r="E6" t="s">
        <v>113</v>
      </c>
      <c r="F6" t="s">
        <v>114</v>
      </c>
      <c r="G6" t="s">
        <v>115</v>
      </c>
      <c r="H6" t="s">
        <v>116</v>
      </c>
      <c r="I6" t="s">
        <v>1156</v>
      </c>
      <c r="J6" t="s">
        <v>118</v>
      </c>
      <c r="K6" t="s">
        <v>119</v>
      </c>
      <c r="L6" t="s">
        <v>120</v>
      </c>
      <c r="M6" t="s">
        <v>121</v>
      </c>
      <c r="N6" t="s">
        <v>122</v>
      </c>
      <c r="P6" t="s">
        <v>53</v>
      </c>
      <c r="Q6" t="s">
        <v>343</v>
      </c>
      <c r="R6" t="s">
        <v>1157</v>
      </c>
      <c r="S6" t="s">
        <v>143</v>
      </c>
      <c r="T6" t="s">
        <v>272</v>
      </c>
      <c r="U6" t="s">
        <v>127</v>
      </c>
      <c r="V6" t="s">
        <v>128</v>
      </c>
      <c r="W6" t="s">
        <v>297</v>
      </c>
      <c r="X6" t="s">
        <v>1158</v>
      </c>
      <c r="Y6" t="s">
        <v>128</v>
      </c>
      <c r="Z6" t="s">
        <v>137</v>
      </c>
      <c r="AA6" t="s">
        <v>138</v>
      </c>
    </row>
    <row r="7" spans="1:27">
      <c r="A7" t="s">
        <v>1159</v>
      </c>
      <c r="B7" s="1">
        <v>41470</v>
      </c>
      <c r="C7" t="s">
        <v>111</v>
      </c>
      <c r="D7" t="s">
        <v>112</v>
      </c>
      <c r="E7" t="s">
        <v>113</v>
      </c>
      <c r="F7" t="s">
        <v>114</v>
      </c>
      <c r="G7" t="s">
        <v>115</v>
      </c>
      <c r="I7" t="s">
        <v>1160</v>
      </c>
      <c r="J7" t="s">
        <v>118</v>
      </c>
      <c r="K7" t="s">
        <v>119</v>
      </c>
      <c r="L7" t="s">
        <v>120</v>
      </c>
      <c r="M7" t="s">
        <v>121</v>
      </c>
      <c r="N7" t="s">
        <v>419</v>
      </c>
      <c r="P7" t="s">
        <v>53</v>
      </c>
      <c r="Q7" t="s">
        <v>982</v>
      </c>
      <c r="S7" t="s">
        <v>143</v>
      </c>
      <c r="T7" t="s">
        <v>241</v>
      </c>
      <c r="W7" t="s">
        <v>1161</v>
      </c>
      <c r="X7" t="s">
        <v>1158</v>
      </c>
      <c r="Z7" t="s">
        <v>431</v>
      </c>
      <c r="AA7" t="s">
        <v>138</v>
      </c>
    </row>
    <row r="8" spans="1:27">
      <c r="A8" t="s">
        <v>300</v>
      </c>
      <c r="B8" s="1">
        <v>41470</v>
      </c>
      <c r="C8" t="s">
        <v>111</v>
      </c>
      <c r="D8" t="s">
        <v>112</v>
      </c>
      <c r="E8" t="s">
        <v>113</v>
      </c>
      <c r="F8" t="s">
        <v>114</v>
      </c>
      <c r="G8" t="s">
        <v>115</v>
      </c>
      <c r="I8" t="s">
        <v>301</v>
      </c>
      <c r="J8" t="s">
        <v>118</v>
      </c>
      <c r="K8" t="s">
        <v>119</v>
      </c>
      <c r="L8" t="s">
        <v>120</v>
      </c>
      <c r="M8" t="s">
        <v>121</v>
      </c>
      <c r="N8" t="s">
        <v>199</v>
      </c>
      <c r="O8" t="s">
        <v>6</v>
      </c>
      <c r="P8" t="s">
        <v>53</v>
      </c>
      <c r="Q8" t="s">
        <v>277</v>
      </c>
      <c r="S8" t="s">
        <v>295</v>
      </c>
      <c r="T8" t="s">
        <v>272</v>
      </c>
      <c r="W8" t="s">
        <v>302</v>
      </c>
      <c r="X8" t="s">
        <v>182</v>
      </c>
      <c r="Z8" t="s">
        <v>303</v>
      </c>
      <c r="AA8" t="s">
        <v>304</v>
      </c>
    </row>
    <row r="9" spans="1:27">
      <c r="A9" t="s">
        <v>1162</v>
      </c>
      <c r="B9" s="1">
        <v>41470</v>
      </c>
      <c r="C9" t="s">
        <v>111</v>
      </c>
      <c r="D9" t="s">
        <v>112</v>
      </c>
      <c r="E9" t="s">
        <v>113</v>
      </c>
      <c r="F9" t="s">
        <v>114</v>
      </c>
      <c r="G9" t="s">
        <v>115</v>
      </c>
      <c r="I9" t="s">
        <v>1163</v>
      </c>
      <c r="J9" t="s">
        <v>118</v>
      </c>
      <c r="K9" t="s">
        <v>119</v>
      </c>
      <c r="L9" t="s">
        <v>120</v>
      </c>
      <c r="M9" t="s">
        <v>121</v>
      </c>
      <c r="N9" t="s">
        <v>199</v>
      </c>
      <c r="O9" t="s">
        <v>6</v>
      </c>
      <c r="P9" t="s">
        <v>53</v>
      </c>
      <c r="Q9" t="s">
        <v>1087</v>
      </c>
      <c r="S9" t="s">
        <v>143</v>
      </c>
      <c r="T9" t="s">
        <v>272</v>
      </c>
      <c r="W9" t="s">
        <v>129</v>
      </c>
      <c r="X9" t="s">
        <v>625</v>
      </c>
      <c r="Z9" t="s">
        <v>633</v>
      </c>
      <c r="AA9" t="s">
        <v>132</v>
      </c>
    </row>
    <row r="10" spans="1:27">
      <c r="A10" t="s">
        <v>1164</v>
      </c>
      <c r="B10" s="1">
        <v>41470</v>
      </c>
      <c r="C10" t="s">
        <v>111</v>
      </c>
      <c r="D10" t="s">
        <v>112</v>
      </c>
      <c r="E10" t="s">
        <v>113</v>
      </c>
      <c r="F10" t="s">
        <v>114</v>
      </c>
      <c r="G10" t="s">
        <v>115</v>
      </c>
      <c r="I10" t="s">
        <v>1165</v>
      </c>
      <c r="J10" t="s">
        <v>118</v>
      </c>
      <c r="K10" t="s">
        <v>119</v>
      </c>
      <c r="L10" t="s">
        <v>120</v>
      </c>
      <c r="M10" t="s">
        <v>121</v>
      </c>
      <c r="N10" t="s">
        <v>199</v>
      </c>
      <c r="O10" t="s">
        <v>7</v>
      </c>
      <c r="P10" t="s">
        <v>53</v>
      </c>
      <c r="Q10" t="s">
        <v>1166</v>
      </c>
      <c r="S10" t="s">
        <v>143</v>
      </c>
      <c r="T10" t="s">
        <v>1167</v>
      </c>
      <c r="W10" t="s">
        <v>1168</v>
      </c>
      <c r="X10" t="s">
        <v>1158</v>
      </c>
      <c r="Z10" t="s">
        <v>337</v>
      </c>
      <c r="AA10" t="s">
        <v>138</v>
      </c>
    </row>
    <row r="11" spans="1:27">
      <c r="A11" t="s">
        <v>1169</v>
      </c>
      <c r="B11" s="1">
        <v>41470</v>
      </c>
      <c r="C11" t="s">
        <v>111</v>
      </c>
      <c r="D11" t="s">
        <v>112</v>
      </c>
      <c r="E11" t="s">
        <v>113</v>
      </c>
      <c r="F11" t="s">
        <v>114</v>
      </c>
      <c r="G11" t="s">
        <v>115</v>
      </c>
      <c r="I11" t="s">
        <v>1170</v>
      </c>
      <c r="J11" t="s">
        <v>118</v>
      </c>
      <c r="K11" t="s">
        <v>119</v>
      </c>
      <c r="L11" t="s">
        <v>120</v>
      </c>
      <c r="M11" t="s">
        <v>121</v>
      </c>
      <c r="N11" t="s">
        <v>199</v>
      </c>
      <c r="O11" t="s">
        <v>3</v>
      </c>
      <c r="P11" t="s">
        <v>53</v>
      </c>
      <c r="Q11" t="s">
        <v>222</v>
      </c>
      <c r="S11" t="s">
        <v>168</v>
      </c>
      <c r="T11" t="s">
        <v>126</v>
      </c>
      <c r="W11" t="s">
        <v>223</v>
      </c>
      <c r="X11" t="s">
        <v>1109</v>
      </c>
      <c r="Z11" t="s">
        <v>1171</v>
      </c>
      <c r="AA11" t="s">
        <v>226</v>
      </c>
    </row>
    <row r="12" spans="1:27">
      <c r="A12" t="s">
        <v>1172</v>
      </c>
      <c r="B12" s="1">
        <v>41470</v>
      </c>
      <c r="C12" t="s">
        <v>111</v>
      </c>
      <c r="D12" t="s">
        <v>112</v>
      </c>
      <c r="E12" t="s">
        <v>113</v>
      </c>
      <c r="F12" t="s">
        <v>114</v>
      </c>
      <c r="G12" t="s">
        <v>115</v>
      </c>
      <c r="I12" t="s">
        <v>1173</v>
      </c>
      <c r="J12" t="s">
        <v>118</v>
      </c>
      <c r="K12" t="s">
        <v>605</v>
      </c>
      <c r="L12" t="s">
        <v>120</v>
      </c>
      <c r="M12" t="s">
        <v>121</v>
      </c>
      <c r="N12" t="s">
        <v>199</v>
      </c>
      <c r="O12" t="s">
        <v>3</v>
      </c>
      <c r="P12" t="s">
        <v>53</v>
      </c>
      <c r="Q12" t="s">
        <v>606</v>
      </c>
      <c r="S12" t="s">
        <v>1098</v>
      </c>
      <c r="T12" t="s">
        <v>1174</v>
      </c>
      <c r="W12" t="s">
        <v>1175</v>
      </c>
      <c r="X12" t="s">
        <v>588</v>
      </c>
      <c r="Z12" t="s">
        <v>196</v>
      </c>
      <c r="AA12" t="s">
        <v>268</v>
      </c>
    </row>
    <row r="13" spans="1:27">
      <c r="A13" t="s">
        <v>1176</v>
      </c>
      <c r="B13" s="1">
        <v>41470</v>
      </c>
      <c r="C13" t="s">
        <v>111</v>
      </c>
      <c r="D13" t="s">
        <v>112</v>
      </c>
      <c r="E13" t="s">
        <v>113</v>
      </c>
      <c r="F13" t="s">
        <v>114</v>
      </c>
      <c r="G13" t="s">
        <v>115</v>
      </c>
      <c r="I13" t="s">
        <v>1177</v>
      </c>
      <c r="J13" t="s">
        <v>118</v>
      </c>
      <c r="K13" t="s">
        <v>605</v>
      </c>
      <c r="L13" t="s">
        <v>120</v>
      </c>
      <c r="M13" t="s">
        <v>121</v>
      </c>
      <c r="N13" t="s">
        <v>199</v>
      </c>
      <c r="O13" t="s">
        <v>3</v>
      </c>
      <c r="P13" t="s">
        <v>53</v>
      </c>
      <c r="Q13" t="s">
        <v>55</v>
      </c>
      <c r="S13" t="s">
        <v>200</v>
      </c>
      <c r="T13" t="s">
        <v>1178</v>
      </c>
      <c r="W13" t="s">
        <v>208</v>
      </c>
      <c r="X13" t="s">
        <v>1109</v>
      </c>
      <c r="Z13" t="s">
        <v>1110</v>
      </c>
      <c r="AA13" t="s">
        <v>209</v>
      </c>
    </row>
    <row r="14" spans="1:27">
      <c r="A14" t="s">
        <v>1179</v>
      </c>
      <c r="B14" s="1">
        <v>41470</v>
      </c>
      <c r="C14" t="s">
        <v>111</v>
      </c>
      <c r="D14" t="s">
        <v>112</v>
      </c>
      <c r="E14" t="s">
        <v>113</v>
      </c>
      <c r="F14" t="s">
        <v>114</v>
      </c>
      <c r="G14" t="s">
        <v>115</v>
      </c>
      <c r="I14" t="s">
        <v>1180</v>
      </c>
      <c r="J14" t="s">
        <v>118</v>
      </c>
      <c r="K14" t="s">
        <v>119</v>
      </c>
      <c r="L14" t="s">
        <v>120</v>
      </c>
      <c r="M14" t="s">
        <v>121</v>
      </c>
      <c r="N14" t="s">
        <v>199</v>
      </c>
      <c r="O14" t="s">
        <v>5</v>
      </c>
      <c r="P14" t="s">
        <v>53</v>
      </c>
      <c r="Q14" t="s">
        <v>411</v>
      </c>
      <c r="S14" t="s">
        <v>143</v>
      </c>
      <c r="T14" t="s">
        <v>290</v>
      </c>
      <c r="W14" t="s">
        <v>1181</v>
      </c>
      <c r="X14" t="s">
        <v>1109</v>
      </c>
      <c r="Z14" t="s">
        <v>1182</v>
      </c>
      <c r="AA14" t="s">
        <v>138</v>
      </c>
    </row>
    <row r="15" spans="1:27">
      <c r="A15" t="s">
        <v>1183</v>
      </c>
      <c r="B15" s="1">
        <v>41470</v>
      </c>
      <c r="C15" t="s">
        <v>111</v>
      </c>
      <c r="D15" t="s">
        <v>112</v>
      </c>
      <c r="E15" t="s">
        <v>113</v>
      </c>
      <c r="F15" t="s">
        <v>114</v>
      </c>
      <c r="G15" t="s">
        <v>115</v>
      </c>
      <c r="I15" t="s">
        <v>1184</v>
      </c>
      <c r="J15" t="s">
        <v>118</v>
      </c>
      <c r="K15" t="s">
        <v>119</v>
      </c>
      <c r="L15" t="s">
        <v>120</v>
      </c>
      <c r="M15" t="s">
        <v>121</v>
      </c>
      <c r="N15" t="s">
        <v>199</v>
      </c>
      <c r="O15" t="s">
        <v>7</v>
      </c>
      <c r="P15" t="s">
        <v>52</v>
      </c>
      <c r="Q15" t="s">
        <v>159</v>
      </c>
      <c r="S15" t="s">
        <v>143</v>
      </c>
      <c r="T15" t="s">
        <v>1185</v>
      </c>
      <c r="W15" t="s">
        <v>1186</v>
      </c>
      <c r="X15" t="s">
        <v>1187</v>
      </c>
      <c r="Z15" t="s">
        <v>340</v>
      </c>
      <c r="AA15" t="s">
        <v>138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>
  <sheetPr codeName="Plan30"/>
  <dimension ref="A1:AA9"/>
  <sheetViews>
    <sheetView workbookViewId="0">
      <selection activeCell="I2" sqref="I2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1169</v>
      </c>
      <c r="B2" s="1">
        <v>41470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I2" t="s">
        <v>1170</v>
      </c>
      <c r="J2" t="s">
        <v>118</v>
      </c>
      <c r="K2" t="s">
        <v>119</v>
      </c>
      <c r="L2" t="s">
        <v>120</v>
      </c>
      <c r="M2" t="s">
        <v>121</v>
      </c>
      <c r="N2" t="s">
        <v>199</v>
      </c>
      <c r="O2" t="s">
        <v>3</v>
      </c>
      <c r="P2" t="s">
        <v>53</v>
      </c>
      <c r="Q2" t="s">
        <v>222</v>
      </c>
      <c r="S2" t="s">
        <v>168</v>
      </c>
      <c r="T2" t="s">
        <v>126</v>
      </c>
      <c r="W2" t="s">
        <v>223</v>
      </c>
      <c r="X2" t="s">
        <v>1109</v>
      </c>
      <c r="Z2" t="s">
        <v>1171</v>
      </c>
      <c r="AA2" t="s">
        <v>226</v>
      </c>
    </row>
    <row r="3" spans="1:27">
      <c r="A3" t="s">
        <v>1172</v>
      </c>
      <c r="B3" s="1">
        <v>41470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I3" t="s">
        <v>1173</v>
      </c>
      <c r="J3" t="s">
        <v>118</v>
      </c>
      <c r="K3" t="s">
        <v>605</v>
      </c>
      <c r="L3" t="s">
        <v>120</v>
      </c>
      <c r="M3" t="s">
        <v>121</v>
      </c>
      <c r="N3" t="s">
        <v>199</v>
      </c>
      <c r="O3" t="s">
        <v>3</v>
      </c>
      <c r="P3" t="s">
        <v>53</v>
      </c>
      <c r="Q3" t="s">
        <v>606</v>
      </c>
      <c r="S3" t="s">
        <v>1098</v>
      </c>
      <c r="T3" t="s">
        <v>1174</v>
      </c>
      <c r="W3" t="s">
        <v>1175</v>
      </c>
      <c r="X3" t="s">
        <v>588</v>
      </c>
      <c r="Z3" t="s">
        <v>196</v>
      </c>
      <c r="AA3" t="s">
        <v>268</v>
      </c>
    </row>
    <row r="4" spans="1:27">
      <c r="A4" t="s">
        <v>1176</v>
      </c>
      <c r="B4" s="1">
        <v>41470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I4" t="s">
        <v>1177</v>
      </c>
      <c r="J4" t="s">
        <v>118</v>
      </c>
      <c r="K4" t="s">
        <v>605</v>
      </c>
      <c r="L4" t="s">
        <v>120</v>
      </c>
      <c r="M4" t="s">
        <v>121</v>
      </c>
      <c r="N4" t="s">
        <v>199</v>
      </c>
      <c r="O4" t="s">
        <v>3</v>
      </c>
      <c r="P4" t="s">
        <v>53</v>
      </c>
      <c r="Q4" t="s">
        <v>55</v>
      </c>
      <c r="S4" t="s">
        <v>200</v>
      </c>
      <c r="T4" t="s">
        <v>1178</v>
      </c>
      <c r="W4" t="s">
        <v>208</v>
      </c>
      <c r="X4" t="s">
        <v>1109</v>
      </c>
      <c r="Z4" t="s">
        <v>1110</v>
      </c>
      <c r="AA4" t="s">
        <v>209</v>
      </c>
    </row>
    <row r="5" spans="1:27">
      <c r="A5" t="s">
        <v>1179</v>
      </c>
      <c r="B5" s="1">
        <v>41470</v>
      </c>
      <c r="C5" t="s">
        <v>111</v>
      </c>
      <c r="D5" t="s">
        <v>112</v>
      </c>
      <c r="E5" t="s">
        <v>113</v>
      </c>
      <c r="F5" t="s">
        <v>114</v>
      </c>
      <c r="G5" t="s">
        <v>115</v>
      </c>
      <c r="I5" t="s">
        <v>1180</v>
      </c>
      <c r="J5" t="s">
        <v>118</v>
      </c>
      <c r="K5" t="s">
        <v>119</v>
      </c>
      <c r="L5" t="s">
        <v>120</v>
      </c>
      <c r="M5" t="s">
        <v>121</v>
      </c>
      <c r="N5" t="s">
        <v>199</v>
      </c>
      <c r="O5" t="s">
        <v>5</v>
      </c>
      <c r="P5" t="s">
        <v>53</v>
      </c>
      <c r="Q5" t="s">
        <v>411</v>
      </c>
      <c r="S5" t="s">
        <v>143</v>
      </c>
      <c r="T5" t="s">
        <v>290</v>
      </c>
      <c r="W5" t="s">
        <v>1181</v>
      </c>
      <c r="X5" t="s">
        <v>1109</v>
      </c>
      <c r="Z5" t="s">
        <v>1182</v>
      </c>
      <c r="AA5" t="s">
        <v>138</v>
      </c>
    </row>
    <row r="6" spans="1:27">
      <c r="A6" t="s">
        <v>300</v>
      </c>
      <c r="B6" s="1">
        <v>41470</v>
      </c>
      <c r="C6" t="s">
        <v>111</v>
      </c>
      <c r="D6" t="s">
        <v>112</v>
      </c>
      <c r="E6" t="s">
        <v>113</v>
      </c>
      <c r="F6" t="s">
        <v>114</v>
      </c>
      <c r="G6" t="s">
        <v>115</v>
      </c>
      <c r="I6" t="s">
        <v>301</v>
      </c>
      <c r="J6" t="s">
        <v>118</v>
      </c>
      <c r="K6" t="s">
        <v>119</v>
      </c>
      <c r="L6" t="s">
        <v>120</v>
      </c>
      <c r="M6" t="s">
        <v>121</v>
      </c>
      <c r="N6" t="s">
        <v>199</v>
      </c>
      <c r="O6" t="s">
        <v>6</v>
      </c>
      <c r="P6" t="s">
        <v>53</v>
      </c>
      <c r="Q6" t="s">
        <v>277</v>
      </c>
      <c r="S6" t="s">
        <v>295</v>
      </c>
      <c r="T6" t="s">
        <v>272</v>
      </c>
      <c r="W6" t="s">
        <v>302</v>
      </c>
      <c r="X6" t="s">
        <v>182</v>
      </c>
      <c r="Z6" t="s">
        <v>303</v>
      </c>
      <c r="AA6" t="s">
        <v>304</v>
      </c>
    </row>
    <row r="7" spans="1:27">
      <c r="A7" t="s">
        <v>1162</v>
      </c>
      <c r="B7" s="1">
        <v>41470</v>
      </c>
      <c r="C7" t="s">
        <v>111</v>
      </c>
      <c r="D7" t="s">
        <v>112</v>
      </c>
      <c r="E7" t="s">
        <v>113</v>
      </c>
      <c r="F7" t="s">
        <v>114</v>
      </c>
      <c r="G7" t="s">
        <v>115</v>
      </c>
      <c r="I7" t="s">
        <v>1163</v>
      </c>
      <c r="J7" t="s">
        <v>118</v>
      </c>
      <c r="K7" t="s">
        <v>119</v>
      </c>
      <c r="L7" t="s">
        <v>120</v>
      </c>
      <c r="M7" t="s">
        <v>121</v>
      </c>
      <c r="N7" t="s">
        <v>199</v>
      </c>
      <c r="O7" t="s">
        <v>6</v>
      </c>
      <c r="P7" t="s">
        <v>53</v>
      </c>
      <c r="Q7" t="s">
        <v>1087</v>
      </c>
      <c r="S7" t="s">
        <v>143</v>
      </c>
      <c r="T7" t="s">
        <v>272</v>
      </c>
      <c r="W7" t="s">
        <v>129</v>
      </c>
      <c r="X7" t="s">
        <v>625</v>
      </c>
      <c r="Z7" t="s">
        <v>633</v>
      </c>
      <c r="AA7" t="s">
        <v>132</v>
      </c>
    </row>
    <row r="8" spans="1:27">
      <c r="A8" t="s">
        <v>1164</v>
      </c>
      <c r="B8" s="1">
        <v>41470</v>
      </c>
      <c r="C8" t="s">
        <v>111</v>
      </c>
      <c r="D8" t="s">
        <v>112</v>
      </c>
      <c r="E8" t="s">
        <v>113</v>
      </c>
      <c r="F8" t="s">
        <v>114</v>
      </c>
      <c r="G8" t="s">
        <v>115</v>
      </c>
      <c r="I8" t="s">
        <v>1165</v>
      </c>
      <c r="J8" t="s">
        <v>118</v>
      </c>
      <c r="K8" t="s">
        <v>119</v>
      </c>
      <c r="L8" t="s">
        <v>120</v>
      </c>
      <c r="M8" t="s">
        <v>121</v>
      </c>
      <c r="N8" t="s">
        <v>199</v>
      </c>
      <c r="O8" t="s">
        <v>7</v>
      </c>
      <c r="P8" t="s">
        <v>53</v>
      </c>
      <c r="Q8" t="s">
        <v>1166</v>
      </c>
      <c r="S8" t="s">
        <v>143</v>
      </c>
      <c r="T8" t="s">
        <v>1167</v>
      </c>
      <c r="W8" t="s">
        <v>1168</v>
      </c>
      <c r="X8" t="s">
        <v>1158</v>
      </c>
      <c r="Z8" t="s">
        <v>337</v>
      </c>
      <c r="AA8" t="s">
        <v>138</v>
      </c>
    </row>
    <row r="9" spans="1:27">
      <c r="A9" t="s">
        <v>1183</v>
      </c>
      <c r="B9" s="1">
        <v>41470</v>
      </c>
      <c r="C9" t="s">
        <v>111</v>
      </c>
      <c r="D9" t="s">
        <v>112</v>
      </c>
      <c r="E9" t="s">
        <v>113</v>
      </c>
      <c r="F9" t="s">
        <v>114</v>
      </c>
      <c r="G9" t="s">
        <v>115</v>
      </c>
      <c r="I9" t="s">
        <v>1184</v>
      </c>
      <c r="J9" t="s">
        <v>118</v>
      </c>
      <c r="K9" t="s">
        <v>119</v>
      </c>
      <c r="L9" t="s">
        <v>120</v>
      </c>
      <c r="M9" t="s">
        <v>121</v>
      </c>
      <c r="N9" t="s">
        <v>199</v>
      </c>
      <c r="O9" t="s">
        <v>7</v>
      </c>
      <c r="P9" t="s">
        <v>52</v>
      </c>
      <c r="Q9" t="s">
        <v>159</v>
      </c>
      <c r="S9" t="s">
        <v>143</v>
      </c>
      <c r="T9" t="s">
        <v>1185</v>
      </c>
      <c r="W9" t="s">
        <v>1186</v>
      </c>
      <c r="X9" t="s">
        <v>1187</v>
      </c>
      <c r="Z9" t="s">
        <v>340</v>
      </c>
      <c r="AA9" t="s">
        <v>138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>
  <sheetPr codeName="Plan31"/>
  <dimension ref="A1:AA6"/>
  <sheetViews>
    <sheetView workbookViewId="0">
      <selection activeCell="G31" sqref="G31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1188</v>
      </c>
      <c r="B2" s="1">
        <v>41471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H2" t="s">
        <v>116</v>
      </c>
      <c r="I2" t="s">
        <v>1189</v>
      </c>
      <c r="J2" t="s">
        <v>118</v>
      </c>
      <c r="K2" t="s">
        <v>119</v>
      </c>
      <c r="L2" t="s">
        <v>120</v>
      </c>
      <c r="M2" t="s">
        <v>121</v>
      </c>
      <c r="N2" t="s">
        <v>122</v>
      </c>
      <c r="P2" t="s">
        <v>52</v>
      </c>
      <c r="Q2" t="s">
        <v>1190</v>
      </c>
      <c r="R2" t="s">
        <v>135</v>
      </c>
      <c r="S2" t="s">
        <v>143</v>
      </c>
      <c r="T2" t="s">
        <v>290</v>
      </c>
      <c r="U2" t="s">
        <v>127</v>
      </c>
      <c r="V2" t="s">
        <v>128</v>
      </c>
      <c r="W2" t="s">
        <v>1191</v>
      </c>
      <c r="X2" t="s">
        <v>1187</v>
      </c>
      <c r="Y2" t="s">
        <v>128</v>
      </c>
      <c r="Z2" t="s">
        <v>621</v>
      </c>
      <c r="AA2" t="s">
        <v>138</v>
      </c>
    </row>
    <row r="3" spans="1:27">
      <c r="A3" t="s">
        <v>1192</v>
      </c>
      <c r="B3" s="1">
        <v>41471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H3" t="s">
        <v>176</v>
      </c>
      <c r="I3" t="s">
        <v>1193</v>
      </c>
      <c r="J3" t="s">
        <v>118</v>
      </c>
      <c r="K3" t="s">
        <v>119</v>
      </c>
      <c r="L3" t="s">
        <v>120</v>
      </c>
      <c r="M3" t="s">
        <v>121</v>
      </c>
      <c r="N3" t="s">
        <v>122</v>
      </c>
      <c r="P3" t="s">
        <v>53</v>
      </c>
      <c r="Q3" t="s">
        <v>1166</v>
      </c>
      <c r="R3" t="s">
        <v>1194</v>
      </c>
      <c r="S3" t="s">
        <v>143</v>
      </c>
      <c r="T3" t="s">
        <v>272</v>
      </c>
      <c r="U3" t="s">
        <v>127</v>
      </c>
      <c r="V3" t="s">
        <v>161</v>
      </c>
      <c r="W3" t="s">
        <v>1195</v>
      </c>
      <c r="X3" t="s">
        <v>1187</v>
      </c>
      <c r="Y3" t="s">
        <v>161</v>
      </c>
      <c r="Z3" t="s">
        <v>251</v>
      </c>
      <c r="AA3" t="s">
        <v>138</v>
      </c>
    </row>
    <row r="4" spans="1:27">
      <c r="A4" t="s">
        <v>1196</v>
      </c>
      <c r="B4" s="1">
        <v>41471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H4" t="s">
        <v>116</v>
      </c>
      <c r="I4" t="s">
        <v>1197</v>
      </c>
      <c r="J4" t="s">
        <v>118</v>
      </c>
      <c r="K4" t="s">
        <v>119</v>
      </c>
      <c r="L4" t="s">
        <v>120</v>
      </c>
      <c r="M4" t="s">
        <v>121</v>
      </c>
      <c r="N4" t="s">
        <v>122</v>
      </c>
      <c r="P4" t="s">
        <v>53</v>
      </c>
      <c r="Q4" t="s">
        <v>271</v>
      </c>
      <c r="R4" t="s">
        <v>1198</v>
      </c>
      <c r="S4" t="s">
        <v>143</v>
      </c>
      <c r="T4" t="s">
        <v>272</v>
      </c>
      <c r="U4" t="s">
        <v>145</v>
      </c>
      <c r="V4" t="s">
        <v>161</v>
      </c>
      <c r="W4" t="s">
        <v>335</v>
      </c>
      <c r="X4" t="s">
        <v>1199</v>
      </c>
      <c r="Y4" t="s">
        <v>161</v>
      </c>
      <c r="Z4" t="s">
        <v>340</v>
      </c>
      <c r="AA4" t="s">
        <v>138</v>
      </c>
    </row>
    <row r="5" spans="1:27">
      <c r="A5" t="s">
        <v>1200</v>
      </c>
      <c r="B5" s="1">
        <v>41471</v>
      </c>
      <c r="C5" t="s">
        <v>111</v>
      </c>
      <c r="D5" t="s">
        <v>112</v>
      </c>
      <c r="E5" t="s">
        <v>113</v>
      </c>
      <c r="F5" t="s">
        <v>114</v>
      </c>
      <c r="G5" t="s">
        <v>115</v>
      </c>
      <c r="I5" t="s">
        <v>1201</v>
      </c>
      <c r="J5" t="s">
        <v>118</v>
      </c>
      <c r="K5" t="s">
        <v>119</v>
      </c>
      <c r="L5" t="s">
        <v>120</v>
      </c>
      <c r="M5" t="s">
        <v>121</v>
      </c>
      <c r="N5" t="s">
        <v>199</v>
      </c>
      <c r="O5" t="s">
        <v>7</v>
      </c>
      <c r="P5" t="s">
        <v>52</v>
      </c>
      <c r="Q5" t="s">
        <v>1202</v>
      </c>
      <c r="S5" t="s">
        <v>125</v>
      </c>
      <c r="T5" t="s">
        <v>1203</v>
      </c>
      <c r="W5" t="s">
        <v>1204</v>
      </c>
      <c r="X5" t="s">
        <v>1199</v>
      </c>
      <c r="Z5" t="s">
        <v>281</v>
      </c>
      <c r="AA5" t="s">
        <v>138</v>
      </c>
    </row>
    <row r="6" spans="1:27">
      <c r="A6" t="s">
        <v>1205</v>
      </c>
      <c r="B6" s="1">
        <v>41471</v>
      </c>
      <c r="C6" t="s">
        <v>111</v>
      </c>
      <c r="D6" t="s">
        <v>112</v>
      </c>
      <c r="E6" t="s">
        <v>113</v>
      </c>
      <c r="F6" t="s">
        <v>114</v>
      </c>
      <c r="G6" t="s">
        <v>115</v>
      </c>
      <c r="I6" t="s">
        <v>1206</v>
      </c>
      <c r="J6" t="s">
        <v>118</v>
      </c>
      <c r="K6" t="s">
        <v>119</v>
      </c>
      <c r="L6" t="s">
        <v>120</v>
      </c>
      <c r="M6" t="s">
        <v>121</v>
      </c>
      <c r="N6" t="s">
        <v>199</v>
      </c>
      <c r="O6" t="s">
        <v>7</v>
      </c>
      <c r="P6" t="s">
        <v>52</v>
      </c>
      <c r="Q6" t="s">
        <v>123</v>
      </c>
      <c r="S6" t="s">
        <v>1027</v>
      </c>
      <c r="T6" t="s">
        <v>272</v>
      </c>
      <c r="W6" t="s">
        <v>1207</v>
      </c>
      <c r="X6" t="s">
        <v>1199</v>
      </c>
      <c r="Z6" t="s">
        <v>251</v>
      </c>
      <c r="AA6" t="s">
        <v>138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>
  <sheetPr codeName="Plan32"/>
  <dimension ref="A1:AA3"/>
  <sheetViews>
    <sheetView workbookViewId="0">
      <selection activeCell="G30" sqref="G30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1200</v>
      </c>
      <c r="B2" s="1">
        <v>41471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I2" t="s">
        <v>1201</v>
      </c>
      <c r="J2" t="s">
        <v>118</v>
      </c>
      <c r="K2" t="s">
        <v>119</v>
      </c>
      <c r="L2" t="s">
        <v>120</v>
      </c>
      <c r="M2" t="s">
        <v>121</v>
      </c>
      <c r="N2" t="s">
        <v>199</v>
      </c>
      <c r="O2" t="s">
        <v>7</v>
      </c>
      <c r="P2" t="s">
        <v>52</v>
      </c>
      <c r="Q2" t="s">
        <v>1202</v>
      </c>
      <c r="S2" t="s">
        <v>125</v>
      </c>
      <c r="T2" t="s">
        <v>1203</v>
      </c>
      <c r="W2" t="s">
        <v>1204</v>
      </c>
      <c r="X2" t="s">
        <v>1199</v>
      </c>
      <c r="Z2" t="s">
        <v>281</v>
      </c>
      <c r="AA2" t="s">
        <v>138</v>
      </c>
    </row>
    <row r="3" spans="1:27">
      <c r="A3" t="s">
        <v>1205</v>
      </c>
      <c r="B3" s="1">
        <v>41471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I3" t="s">
        <v>1206</v>
      </c>
      <c r="J3" t="s">
        <v>118</v>
      </c>
      <c r="K3" t="s">
        <v>119</v>
      </c>
      <c r="L3" t="s">
        <v>120</v>
      </c>
      <c r="M3" t="s">
        <v>121</v>
      </c>
      <c r="N3" t="s">
        <v>199</v>
      </c>
      <c r="O3" t="s">
        <v>7</v>
      </c>
      <c r="P3" t="s">
        <v>52</v>
      </c>
      <c r="Q3" t="s">
        <v>123</v>
      </c>
      <c r="S3" t="s">
        <v>1027</v>
      </c>
      <c r="T3" t="s">
        <v>272</v>
      </c>
      <c r="W3" t="s">
        <v>1207</v>
      </c>
      <c r="X3" t="s">
        <v>1199</v>
      </c>
      <c r="Z3" t="s">
        <v>251</v>
      </c>
      <c r="AA3" t="s">
        <v>138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>
  <sheetPr codeName="Plan33"/>
  <dimension ref="A1:AA7"/>
  <sheetViews>
    <sheetView workbookViewId="0">
      <selection activeCell="I2" sqref="I2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1208</v>
      </c>
      <c r="B2" s="1">
        <v>41472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H2" t="s">
        <v>116</v>
      </c>
      <c r="I2" t="s">
        <v>1209</v>
      </c>
      <c r="J2" t="s">
        <v>118</v>
      </c>
      <c r="K2" t="s">
        <v>119</v>
      </c>
      <c r="L2" t="s">
        <v>120</v>
      </c>
      <c r="M2" t="s">
        <v>121</v>
      </c>
      <c r="N2" t="s">
        <v>122</v>
      </c>
      <c r="P2" t="s">
        <v>52</v>
      </c>
      <c r="Q2" t="s">
        <v>658</v>
      </c>
      <c r="R2" t="s">
        <v>135</v>
      </c>
      <c r="S2" t="s">
        <v>143</v>
      </c>
      <c r="T2" t="s">
        <v>1104</v>
      </c>
      <c r="U2" t="s">
        <v>286</v>
      </c>
      <c r="V2" t="s">
        <v>231</v>
      </c>
      <c r="W2" t="s">
        <v>1210</v>
      </c>
      <c r="X2" t="s">
        <v>1199</v>
      </c>
      <c r="Y2" t="s">
        <v>231</v>
      </c>
      <c r="Z2" t="s">
        <v>1211</v>
      </c>
      <c r="AA2" t="s">
        <v>138</v>
      </c>
    </row>
    <row r="3" spans="1:27">
      <c r="A3" t="s">
        <v>1212</v>
      </c>
      <c r="B3" s="1">
        <v>41472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H3" t="s">
        <v>176</v>
      </c>
      <c r="I3" t="s">
        <v>1213</v>
      </c>
      <c r="J3" t="s">
        <v>118</v>
      </c>
      <c r="K3" t="s">
        <v>119</v>
      </c>
      <c r="L3" t="s">
        <v>120</v>
      </c>
      <c r="M3" t="s">
        <v>121</v>
      </c>
      <c r="N3" t="s">
        <v>122</v>
      </c>
      <c r="P3" t="s">
        <v>54</v>
      </c>
      <c r="Q3" t="s">
        <v>211</v>
      </c>
      <c r="R3" t="s">
        <v>1214</v>
      </c>
      <c r="S3" t="s">
        <v>143</v>
      </c>
      <c r="T3" t="s">
        <v>1215</v>
      </c>
      <c r="U3" t="s">
        <v>127</v>
      </c>
      <c r="V3" t="s">
        <v>170</v>
      </c>
      <c r="W3" t="s">
        <v>1216</v>
      </c>
      <c r="X3" t="s">
        <v>1217</v>
      </c>
      <c r="Y3" t="s">
        <v>170</v>
      </c>
      <c r="Z3" t="s">
        <v>189</v>
      </c>
      <c r="AA3" t="s">
        <v>149</v>
      </c>
    </row>
    <row r="4" spans="1:27">
      <c r="A4" t="s">
        <v>1218</v>
      </c>
      <c r="B4" s="1">
        <v>41472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I4" t="s">
        <v>1180</v>
      </c>
      <c r="J4" t="s">
        <v>118</v>
      </c>
      <c r="K4" t="s">
        <v>119</v>
      </c>
      <c r="L4" t="s">
        <v>120</v>
      </c>
      <c r="M4" t="s">
        <v>121</v>
      </c>
      <c r="N4" t="s">
        <v>193</v>
      </c>
      <c r="O4" t="s">
        <v>8</v>
      </c>
      <c r="P4" t="s">
        <v>53</v>
      </c>
      <c r="Q4" t="s">
        <v>309</v>
      </c>
      <c r="R4" t="s">
        <v>1219</v>
      </c>
      <c r="S4" t="s">
        <v>143</v>
      </c>
      <c r="T4" t="s">
        <v>290</v>
      </c>
      <c r="U4" t="s">
        <v>127</v>
      </c>
      <c r="W4" t="s">
        <v>1181</v>
      </c>
      <c r="X4" t="s">
        <v>1109</v>
      </c>
      <c r="Y4" t="s">
        <v>195</v>
      </c>
      <c r="Z4" t="s">
        <v>1182</v>
      </c>
      <c r="AA4" t="s">
        <v>138</v>
      </c>
    </row>
    <row r="5" spans="1:27">
      <c r="A5" t="s">
        <v>1220</v>
      </c>
      <c r="B5" s="1">
        <v>41472</v>
      </c>
      <c r="C5" t="s">
        <v>111</v>
      </c>
      <c r="D5" t="s">
        <v>112</v>
      </c>
      <c r="E5" t="s">
        <v>113</v>
      </c>
      <c r="F5" t="s">
        <v>114</v>
      </c>
      <c r="G5" t="s">
        <v>115</v>
      </c>
      <c r="I5" t="s">
        <v>1221</v>
      </c>
      <c r="J5" t="s">
        <v>118</v>
      </c>
      <c r="K5" t="s">
        <v>119</v>
      </c>
      <c r="L5" t="s">
        <v>120</v>
      </c>
      <c r="M5" t="s">
        <v>121</v>
      </c>
      <c r="N5" t="s">
        <v>199</v>
      </c>
      <c r="O5" t="s">
        <v>4</v>
      </c>
      <c r="P5" t="s">
        <v>52</v>
      </c>
      <c r="Q5" t="s">
        <v>586</v>
      </c>
      <c r="S5" t="s">
        <v>1222</v>
      </c>
      <c r="T5" t="s">
        <v>616</v>
      </c>
      <c r="W5" t="s">
        <v>1223</v>
      </c>
      <c r="X5" t="s">
        <v>1217</v>
      </c>
      <c r="Z5" t="s">
        <v>225</v>
      </c>
      <c r="AA5" t="s">
        <v>1224</v>
      </c>
    </row>
    <row r="6" spans="1:27">
      <c r="A6" t="s">
        <v>1200</v>
      </c>
      <c r="B6" s="1">
        <v>41472</v>
      </c>
      <c r="C6" t="s">
        <v>111</v>
      </c>
      <c r="D6" t="s">
        <v>112</v>
      </c>
      <c r="E6" t="s">
        <v>113</v>
      </c>
      <c r="F6" t="s">
        <v>114</v>
      </c>
      <c r="G6" t="s">
        <v>115</v>
      </c>
      <c r="I6" t="s">
        <v>1201</v>
      </c>
      <c r="J6" t="s">
        <v>118</v>
      </c>
      <c r="K6" t="s">
        <v>119</v>
      </c>
      <c r="L6" t="s">
        <v>120</v>
      </c>
      <c r="M6" t="s">
        <v>121</v>
      </c>
      <c r="N6" t="s">
        <v>199</v>
      </c>
      <c r="O6" t="s">
        <v>7</v>
      </c>
      <c r="P6" t="s">
        <v>52</v>
      </c>
      <c r="Q6" t="s">
        <v>1202</v>
      </c>
      <c r="S6" t="s">
        <v>125</v>
      </c>
      <c r="T6" t="s">
        <v>1203</v>
      </c>
      <c r="W6" t="s">
        <v>1225</v>
      </c>
      <c r="X6" t="s">
        <v>1199</v>
      </c>
      <c r="Z6" t="s">
        <v>281</v>
      </c>
      <c r="AA6" t="s">
        <v>138</v>
      </c>
    </row>
    <row r="7" spans="1:27">
      <c r="A7" t="s">
        <v>1226</v>
      </c>
      <c r="B7" s="1">
        <v>41472</v>
      </c>
      <c r="C7" t="s">
        <v>111</v>
      </c>
      <c r="D7" t="s">
        <v>112</v>
      </c>
      <c r="E7" t="s">
        <v>113</v>
      </c>
      <c r="F7" t="s">
        <v>114</v>
      </c>
      <c r="G7" t="s">
        <v>115</v>
      </c>
      <c r="I7" t="s">
        <v>1227</v>
      </c>
      <c r="J7" t="s">
        <v>118</v>
      </c>
      <c r="K7" t="s">
        <v>119</v>
      </c>
      <c r="L7" t="s">
        <v>120</v>
      </c>
      <c r="M7" t="s">
        <v>121</v>
      </c>
      <c r="N7" t="s">
        <v>199</v>
      </c>
      <c r="O7" t="s">
        <v>7</v>
      </c>
      <c r="P7" t="s">
        <v>52</v>
      </c>
      <c r="Q7" t="s">
        <v>214</v>
      </c>
      <c r="S7" t="s">
        <v>143</v>
      </c>
      <c r="T7" t="s">
        <v>1228</v>
      </c>
      <c r="W7" t="s">
        <v>1229</v>
      </c>
      <c r="X7" t="s">
        <v>1217</v>
      </c>
      <c r="Z7" t="s">
        <v>152</v>
      </c>
      <c r="AA7" t="s">
        <v>138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>
  <sheetPr codeName="Plan34"/>
  <dimension ref="A1:AA5"/>
  <sheetViews>
    <sheetView workbookViewId="0">
      <selection activeCell="I2" sqref="I2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1220</v>
      </c>
      <c r="B2" s="1">
        <v>41472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I2" t="s">
        <v>1221</v>
      </c>
      <c r="J2" t="s">
        <v>118</v>
      </c>
      <c r="K2" t="s">
        <v>119</v>
      </c>
      <c r="L2" t="s">
        <v>120</v>
      </c>
      <c r="M2" t="s">
        <v>121</v>
      </c>
      <c r="N2" t="s">
        <v>199</v>
      </c>
      <c r="O2" t="s">
        <v>4</v>
      </c>
      <c r="P2" t="s">
        <v>52</v>
      </c>
      <c r="Q2" t="s">
        <v>586</v>
      </c>
      <c r="S2" t="s">
        <v>1222</v>
      </c>
      <c r="T2" t="s">
        <v>616</v>
      </c>
      <c r="W2" t="s">
        <v>1223</v>
      </c>
      <c r="X2" t="s">
        <v>1217</v>
      </c>
      <c r="Z2" t="s">
        <v>225</v>
      </c>
      <c r="AA2" t="s">
        <v>1224</v>
      </c>
    </row>
    <row r="3" spans="1:27">
      <c r="A3" t="s">
        <v>1200</v>
      </c>
      <c r="B3" s="1">
        <v>41472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I3" t="s">
        <v>1201</v>
      </c>
      <c r="J3" t="s">
        <v>118</v>
      </c>
      <c r="K3" t="s">
        <v>119</v>
      </c>
      <c r="L3" t="s">
        <v>120</v>
      </c>
      <c r="M3" t="s">
        <v>121</v>
      </c>
      <c r="N3" t="s">
        <v>199</v>
      </c>
      <c r="O3" t="s">
        <v>7</v>
      </c>
      <c r="P3" t="s">
        <v>52</v>
      </c>
      <c r="Q3" t="s">
        <v>1202</v>
      </c>
      <c r="S3" t="s">
        <v>125</v>
      </c>
      <c r="T3" t="s">
        <v>1203</v>
      </c>
      <c r="W3" t="s">
        <v>1225</v>
      </c>
      <c r="X3" t="s">
        <v>1199</v>
      </c>
      <c r="Z3" t="s">
        <v>281</v>
      </c>
      <c r="AA3" t="s">
        <v>138</v>
      </c>
    </row>
    <row r="4" spans="1:27">
      <c r="A4" t="s">
        <v>1226</v>
      </c>
      <c r="B4" s="1">
        <v>41472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I4" t="s">
        <v>1227</v>
      </c>
      <c r="J4" t="s">
        <v>118</v>
      </c>
      <c r="K4" t="s">
        <v>119</v>
      </c>
      <c r="L4" t="s">
        <v>120</v>
      </c>
      <c r="M4" t="s">
        <v>121</v>
      </c>
      <c r="N4" t="s">
        <v>199</v>
      </c>
      <c r="O4" t="s">
        <v>7</v>
      </c>
      <c r="P4" t="s">
        <v>52</v>
      </c>
      <c r="Q4" t="s">
        <v>214</v>
      </c>
      <c r="S4" t="s">
        <v>143</v>
      </c>
      <c r="T4" t="s">
        <v>1228</v>
      </c>
      <c r="W4" t="s">
        <v>1229</v>
      </c>
      <c r="X4" t="s">
        <v>1217</v>
      </c>
      <c r="Z4" t="s">
        <v>152</v>
      </c>
      <c r="AA4" t="s">
        <v>138</v>
      </c>
    </row>
    <row r="5" spans="1:27">
      <c r="A5" t="s">
        <v>1218</v>
      </c>
      <c r="B5" s="1">
        <v>41472</v>
      </c>
      <c r="C5" t="s">
        <v>111</v>
      </c>
      <c r="D5" t="s">
        <v>112</v>
      </c>
      <c r="E5" t="s">
        <v>113</v>
      </c>
      <c r="F5" t="s">
        <v>114</v>
      </c>
      <c r="G5" t="s">
        <v>115</v>
      </c>
      <c r="I5" t="s">
        <v>1180</v>
      </c>
      <c r="J5" t="s">
        <v>118</v>
      </c>
      <c r="K5" t="s">
        <v>119</v>
      </c>
      <c r="L5" t="s">
        <v>120</v>
      </c>
      <c r="M5" t="s">
        <v>121</v>
      </c>
      <c r="N5" t="s">
        <v>193</v>
      </c>
      <c r="O5" t="s">
        <v>8</v>
      </c>
      <c r="P5" t="s">
        <v>53</v>
      </c>
      <c r="Q5" t="s">
        <v>309</v>
      </c>
      <c r="R5" t="s">
        <v>1219</v>
      </c>
      <c r="S5" t="s">
        <v>143</v>
      </c>
      <c r="T5" t="s">
        <v>290</v>
      </c>
      <c r="U5" t="s">
        <v>127</v>
      </c>
      <c r="W5" t="s">
        <v>1181</v>
      </c>
      <c r="X5" t="s">
        <v>1109</v>
      </c>
      <c r="Y5" t="s">
        <v>195</v>
      </c>
      <c r="Z5" t="s">
        <v>1182</v>
      </c>
      <c r="AA5" t="s">
        <v>138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>
  <sheetPr codeName="Plan35"/>
  <dimension ref="A1:AA7"/>
  <sheetViews>
    <sheetView workbookViewId="0">
      <selection sqref="A1:XFD1048576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1230</v>
      </c>
      <c r="B2" s="1">
        <v>41473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H2" t="s">
        <v>116</v>
      </c>
      <c r="I2" t="s">
        <v>1231</v>
      </c>
      <c r="J2" t="s">
        <v>118</v>
      </c>
      <c r="K2" t="s">
        <v>119</v>
      </c>
      <c r="L2" t="s">
        <v>120</v>
      </c>
      <c r="M2" t="s">
        <v>121</v>
      </c>
      <c r="N2" t="s">
        <v>122</v>
      </c>
      <c r="P2" t="s">
        <v>53</v>
      </c>
      <c r="Q2" t="s">
        <v>123</v>
      </c>
      <c r="R2" t="s">
        <v>135</v>
      </c>
      <c r="S2" t="s">
        <v>143</v>
      </c>
      <c r="T2" t="s">
        <v>180</v>
      </c>
      <c r="U2" t="s">
        <v>286</v>
      </c>
      <c r="V2" t="s">
        <v>128</v>
      </c>
      <c r="W2" t="s">
        <v>181</v>
      </c>
      <c r="X2" t="s">
        <v>1232</v>
      </c>
      <c r="Y2" t="s">
        <v>128</v>
      </c>
      <c r="Z2" t="s">
        <v>1044</v>
      </c>
      <c r="AA2" t="s">
        <v>138</v>
      </c>
    </row>
    <row r="3" spans="1:27">
      <c r="A3" t="s">
        <v>1233</v>
      </c>
      <c r="B3" s="1">
        <v>41473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H3" t="s">
        <v>116</v>
      </c>
      <c r="I3" t="s">
        <v>1234</v>
      </c>
      <c r="J3" t="s">
        <v>118</v>
      </c>
      <c r="K3" t="s">
        <v>119</v>
      </c>
      <c r="L3" t="s">
        <v>120</v>
      </c>
      <c r="M3" t="s">
        <v>121</v>
      </c>
      <c r="N3" t="s">
        <v>122</v>
      </c>
      <c r="P3" t="s">
        <v>52</v>
      </c>
      <c r="Q3" t="s">
        <v>1235</v>
      </c>
      <c r="R3" t="s">
        <v>135</v>
      </c>
      <c r="S3" t="s">
        <v>264</v>
      </c>
      <c r="T3" t="s">
        <v>272</v>
      </c>
      <c r="U3" t="s">
        <v>127</v>
      </c>
      <c r="V3" t="s">
        <v>128</v>
      </c>
      <c r="W3" t="s">
        <v>1236</v>
      </c>
      <c r="X3" t="s">
        <v>1217</v>
      </c>
      <c r="Y3" t="s">
        <v>128</v>
      </c>
      <c r="Z3" t="s">
        <v>1237</v>
      </c>
      <c r="AA3" t="s">
        <v>268</v>
      </c>
    </row>
    <row r="4" spans="1:27">
      <c r="A4" t="s">
        <v>1238</v>
      </c>
      <c r="B4" s="1">
        <v>41473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H4" t="s">
        <v>116</v>
      </c>
      <c r="I4" t="s">
        <v>1239</v>
      </c>
      <c r="J4" t="s">
        <v>118</v>
      </c>
      <c r="K4" t="s">
        <v>119</v>
      </c>
      <c r="L4" t="s">
        <v>120</v>
      </c>
      <c r="M4" t="s">
        <v>121</v>
      </c>
      <c r="N4" t="s">
        <v>122</v>
      </c>
      <c r="P4" t="s">
        <v>53</v>
      </c>
      <c r="Q4" t="s">
        <v>309</v>
      </c>
      <c r="R4" t="s">
        <v>135</v>
      </c>
      <c r="S4" t="s">
        <v>168</v>
      </c>
      <c r="T4" t="s">
        <v>126</v>
      </c>
      <c r="U4" t="s">
        <v>286</v>
      </c>
      <c r="V4" t="s">
        <v>128</v>
      </c>
      <c r="W4" t="s">
        <v>223</v>
      </c>
      <c r="X4" t="s">
        <v>1232</v>
      </c>
      <c r="Y4" t="s">
        <v>128</v>
      </c>
      <c r="Z4" t="s">
        <v>1128</v>
      </c>
      <c r="AA4" t="s">
        <v>226</v>
      </c>
    </row>
    <row r="5" spans="1:27">
      <c r="A5" t="s">
        <v>1205</v>
      </c>
      <c r="B5" s="1">
        <v>41473</v>
      </c>
      <c r="C5" t="s">
        <v>111</v>
      </c>
      <c r="D5" t="s">
        <v>112</v>
      </c>
      <c r="E5" t="s">
        <v>113</v>
      </c>
      <c r="F5" t="s">
        <v>114</v>
      </c>
      <c r="G5" t="s">
        <v>115</v>
      </c>
      <c r="I5" t="s">
        <v>1206</v>
      </c>
      <c r="J5" t="s">
        <v>118</v>
      </c>
      <c r="K5" t="s">
        <v>119</v>
      </c>
      <c r="L5" t="s">
        <v>120</v>
      </c>
      <c r="M5" t="s">
        <v>121</v>
      </c>
      <c r="N5" t="s">
        <v>199</v>
      </c>
      <c r="O5" t="s">
        <v>7</v>
      </c>
      <c r="P5" t="s">
        <v>52</v>
      </c>
      <c r="Q5" t="s">
        <v>123</v>
      </c>
      <c r="S5" t="s">
        <v>1027</v>
      </c>
      <c r="T5" t="s">
        <v>272</v>
      </c>
      <c r="W5" t="s">
        <v>1240</v>
      </c>
      <c r="X5" t="s">
        <v>1199</v>
      </c>
      <c r="Z5" t="s">
        <v>251</v>
      </c>
      <c r="AA5" t="s">
        <v>164</v>
      </c>
    </row>
    <row r="6" spans="1:27">
      <c r="A6" t="s">
        <v>1200</v>
      </c>
      <c r="B6" s="1">
        <v>41473</v>
      </c>
      <c r="C6" t="s">
        <v>111</v>
      </c>
      <c r="D6" t="s">
        <v>112</v>
      </c>
      <c r="E6" t="s">
        <v>113</v>
      </c>
      <c r="F6" t="s">
        <v>114</v>
      </c>
      <c r="G6" t="s">
        <v>115</v>
      </c>
      <c r="I6" t="s">
        <v>1201</v>
      </c>
      <c r="J6" t="s">
        <v>118</v>
      </c>
      <c r="K6" t="s">
        <v>119</v>
      </c>
      <c r="L6" t="s">
        <v>120</v>
      </c>
      <c r="M6" t="s">
        <v>121</v>
      </c>
      <c r="N6" t="s">
        <v>199</v>
      </c>
      <c r="O6" t="s">
        <v>1108</v>
      </c>
      <c r="P6" t="s">
        <v>52</v>
      </c>
      <c r="Q6" t="s">
        <v>1202</v>
      </c>
      <c r="S6" t="s">
        <v>125</v>
      </c>
      <c r="T6" t="s">
        <v>1203</v>
      </c>
      <c r="W6" t="s">
        <v>1241</v>
      </c>
      <c r="X6" t="s">
        <v>1199</v>
      </c>
      <c r="Z6" t="s">
        <v>281</v>
      </c>
      <c r="AA6" t="s">
        <v>138</v>
      </c>
    </row>
    <row r="7" spans="1:27">
      <c r="A7" t="s">
        <v>1242</v>
      </c>
      <c r="B7" s="1">
        <v>41473</v>
      </c>
      <c r="C7" t="s">
        <v>111</v>
      </c>
      <c r="D7" t="s">
        <v>112</v>
      </c>
      <c r="E7" t="s">
        <v>113</v>
      </c>
      <c r="F7" t="s">
        <v>114</v>
      </c>
      <c r="G7" t="s">
        <v>115</v>
      </c>
      <c r="I7" t="s">
        <v>1243</v>
      </c>
      <c r="J7" t="s">
        <v>118</v>
      </c>
      <c r="K7" t="s">
        <v>119</v>
      </c>
      <c r="L7" t="s">
        <v>120</v>
      </c>
      <c r="M7" t="s">
        <v>121</v>
      </c>
      <c r="N7" t="s">
        <v>199</v>
      </c>
      <c r="O7" t="s">
        <v>7</v>
      </c>
      <c r="P7" t="s">
        <v>53</v>
      </c>
      <c r="Q7" t="s">
        <v>1244</v>
      </c>
      <c r="S7" t="s">
        <v>143</v>
      </c>
      <c r="T7" t="s">
        <v>1245</v>
      </c>
      <c r="W7" t="s">
        <v>1246</v>
      </c>
      <c r="X7" t="s">
        <v>1217</v>
      </c>
      <c r="Z7" t="s">
        <v>189</v>
      </c>
      <c r="AA7" t="s">
        <v>164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>
  <sheetPr codeName="Plan36"/>
  <dimension ref="A1:AA4"/>
  <sheetViews>
    <sheetView topLeftCell="H1" workbookViewId="0">
      <selection activeCell="O4" sqref="O4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1205</v>
      </c>
      <c r="B2" s="1">
        <v>41473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I2" t="s">
        <v>1206</v>
      </c>
      <c r="J2" t="s">
        <v>118</v>
      </c>
      <c r="K2" t="s">
        <v>119</v>
      </c>
      <c r="L2" t="s">
        <v>120</v>
      </c>
      <c r="M2" t="s">
        <v>121</v>
      </c>
      <c r="N2" t="s">
        <v>199</v>
      </c>
      <c r="O2" t="s">
        <v>7</v>
      </c>
      <c r="P2" t="s">
        <v>52</v>
      </c>
      <c r="Q2" t="s">
        <v>123</v>
      </c>
      <c r="S2" t="s">
        <v>1027</v>
      </c>
      <c r="T2" t="s">
        <v>272</v>
      </c>
      <c r="W2" t="s">
        <v>1240</v>
      </c>
      <c r="X2" t="s">
        <v>1199</v>
      </c>
      <c r="Z2" t="s">
        <v>251</v>
      </c>
      <c r="AA2" t="s">
        <v>164</v>
      </c>
    </row>
    <row r="3" spans="1:27">
      <c r="A3" t="s">
        <v>1242</v>
      </c>
      <c r="B3" s="1">
        <v>41473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I3" t="s">
        <v>1243</v>
      </c>
      <c r="J3" t="s">
        <v>118</v>
      </c>
      <c r="K3" t="s">
        <v>119</v>
      </c>
      <c r="L3" t="s">
        <v>120</v>
      </c>
      <c r="M3" t="s">
        <v>121</v>
      </c>
      <c r="N3" t="s">
        <v>199</v>
      </c>
      <c r="O3" t="s">
        <v>7</v>
      </c>
      <c r="P3" t="s">
        <v>53</v>
      </c>
      <c r="Q3" t="s">
        <v>1244</v>
      </c>
      <c r="S3" t="s">
        <v>143</v>
      </c>
      <c r="T3" t="s">
        <v>1245</v>
      </c>
      <c r="W3" t="s">
        <v>1246</v>
      </c>
      <c r="X3" t="s">
        <v>1217</v>
      </c>
      <c r="Z3" t="s">
        <v>189</v>
      </c>
      <c r="AA3" t="s">
        <v>164</v>
      </c>
    </row>
    <row r="4" spans="1:27">
      <c r="A4" t="s">
        <v>1200</v>
      </c>
      <c r="B4" s="1">
        <v>41473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I4" t="s">
        <v>1201</v>
      </c>
      <c r="J4" t="s">
        <v>118</v>
      </c>
      <c r="K4" t="s">
        <v>119</v>
      </c>
      <c r="L4" t="s">
        <v>120</v>
      </c>
      <c r="M4" t="s">
        <v>121</v>
      </c>
      <c r="N4" t="s">
        <v>199</v>
      </c>
      <c r="O4" t="s">
        <v>1108</v>
      </c>
      <c r="P4" t="s">
        <v>52</v>
      </c>
      <c r="Q4" t="s">
        <v>1202</v>
      </c>
      <c r="S4" t="s">
        <v>125</v>
      </c>
      <c r="T4" t="s">
        <v>1203</v>
      </c>
      <c r="W4" t="s">
        <v>1241</v>
      </c>
      <c r="X4" t="s">
        <v>1199</v>
      </c>
      <c r="Z4" t="s">
        <v>281</v>
      </c>
      <c r="AA4" t="s">
        <v>138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>
  <sheetPr codeName="Plan37"/>
  <dimension ref="A1:AA15"/>
  <sheetViews>
    <sheetView workbookViewId="0">
      <selection activeCell="I2" sqref="I2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1247</v>
      </c>
      <c r="B2" s="1">
        <v>41474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H2" t="s">
        <v>116</v>
      </c>
      <c r="I2" t="s">
        <v>1221</v>
      </c>
      <c r="J2" t="s">
        <v>118</v>
      </c>
      <c r="K2" t="s">
        <v>119</v>
      </c>
      <c r="L2" t="s">
        <v>120</v>
      </c>
      <c r="M2" t="s">
        <v>121</v>
      </c>
      <c r="N2" t="s">
        <v>122</v>
      </c>
      <c r="P2" t="s">
        <v>52</v>
      </c>
      <c r="Q2" t="s">
        <v>586</v>
      </c>
      <c r="R2" t="s">
        <v>1248</v>
      </c>
      <c r="S2" t="s">
        <v>1222</v>
      </c>
      <c r="T2" t="s">
        <v>616</v>
      </c>
      <c r="U2" t="s">
        <v>286</v>
      </c>
      <c r="V2" t="s">
        <v>128</v>
      </c>
      <c r="W2" t="s">
        <v>1249</v>
      </c>
      <c r="X2" t="s">
        <v>1217</v>
      </c>
      <c r="Y2" t="s">
        <v>128</v>
      </c>
      <c r="Z2" t="s">
        <v>225</v>
      </c>
      <c r="AA2" t="s">
        <v>268</v>
      </c>
    </row>
    <row r="3" spans="1:27">
      <c r="A3" t="s">
        <v>1250</v>
      </c>
      <c r="B3" s="1">
        <v>41474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H3" t="s">
        <v>116</v>
      </c>
      <c r="I3" t="s">
        <v>1251</v>
      </c>
      <c r="J3" t="s">
        <v>118</v>
      </c>
      <c r="K3" t="s">
        <v>119</v>
      </c>
      <c r="L3" t="s">
        <v>120</v>
      </c>
      <c r="M3" t="s">
        <v>121</v>
      </c>
      <c r="N3" t="s">
        <v>122</v>
      </c>
      <c r="P3" t="s">
        <v>52</v>
      </c>
      <c r="Q3" t="s">
        <v>1252</v>
      </c>
      <c r="R3" t="s">
        <v>135</v>
      </c>
      <c r="S3" t="s">
        <v>143</v>
      </c>
      <c r="T3" t="s">
        <v>1253</v>
      </c>
      <c r="U3" t="s">
        <v>127</v>
      </c>
      <c r="V3" t="s">
        <v>1081</v>
      </c>
      <c r="W3" t="s">
        <v>1254</v>
      </c>
      <c r="X3" t="s">
        <v>1232</v>
      </c>
      <c r="Y3" t="s">
        <v>1081</v>
      </c>
      <c r="Z3" t="s">
        <v>458</v>
      </c>
      <c r="AA3" t="s">
        <v>149</v>
      </c>
    </row>
    <row r="4" spans="1:27">
      <c r="A4" t="s">
        <v>1255</v>
      </c>
      <c r="B4" s="1">
        <v>41474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H4" t="s">
        <v>116</v>
      </c>
      <c r="I4" t="s">
        <v>1256</v>
      </c>
      <c r="J4" t="s">
        <v>118</v>
      </c>
      <c r="K4" t="s">
        <v>119</v>
      </c>
      <c r="L4" t="s">
        <v>120</v>
      </c>
      <c r="M4" t="s">
        <v>121</v>
      </c>
      <c r="N4" t="s">
        <v>122</v>
      </c>
      <c r="P4" t="s">
        <v>53</v>
      </c>
      <c r="Q4" t="s">
        <v>309</v>
      </c>
      <c r="R4" t="s">
        <v>135</v>
      </c>
      <c r="S4" t="s">
        <v>143</v>
      </c>
      <c r="T4" t="s">
        <v>1257</v>
      </c>
      <c r="U4" t="s">
        <v>127</v>
      </c>
      <c r="V4" t="s">
        <v>128</v>
      </c>
      <c r="W4" t="s">
        <v>409</v>
      </c>
      <c r="X4" t="s">
        <v>1232</v>
      </c>
      <c r="Y4" t="s">
        <v>128</v>
      </c>
      <c r="Z4" t="s">
        <v>431</v>
      </c>
      <c r="AA4" t="s">
        <v>138</v>
      </c>
    </row>
    <row r="5" spans="1:27">
      <c r="A5" t="s">
        <v>300</v>
      </c>
      <c r="B5" s="1">
        <v>41474</v>
      </c>
      <c r="C5" t="s">
        <v>111</v>
      </c>
      <c r="D5" t="s">
        <v>112</v>
      </c>
      <c r="E5" t="s">
        <v>113</v>
      </c>
      <c r="F5" t="s">
        <v>114</v>
      </c>
      <c r="G5" t="s">
        <v>115</v>
      </c>
      <c r="H5" t="s">
        <v>116</v>
      </c>
      <c r="I5" t="s">
        <v>301</v>
      </c>
      <c r="J5" t="s">
        <v>118</v>
      </c>
      <c r="K5" t="s">
        <v>119</v>
      </c>
      <c r="L5" t="s">
        <v>120</v>
      </c>
      <c r="M5" t="s">
        <v>121</v>
      </c>
      <c r="N5" t="s">
        <v>122</v>
      </c>
      <c r="P5" t="s">
        <v>53</v>
      </c>
      <c r="Q5" t="s">
        <v>277</v>
      </c>
      <c r="R5" t="s">
        <v>1258</v>
      </c>
      <c r="S5" t="s">
        <v>295</v>
      </c>
      <c r="T5" t="s">
        <v>272</v>
      </c>
      <c r="U5" t="s">
        <v>127</v>
      </c>
      <c r="V5" t="s">
        <v>128</v>
      </c>
      <c r="W5" t="s">
        <v>644</v>
      </c>
      <c r="X5" t="s">
        <v>182</v>
      </c>
      <c r="Y5" t="s">
        <v>128</v>
      </c>
      <c r="Z5" t="s">
        <v>303</v>
      </c>
      <c r="AA5" t="s">
        <v>304</v>
      </c>
    </row>
    <row r="6" spans="1:27">
      <c r="A6" t="s">
        <v>1259</v>
      </c>
      <c r="B6" s="1">
        <v>41474</v>
      </c>
      <c r="C6" t="s">
        <v>111</v>
      </c>
      <c r="D6" t="s">
        <v>112</v>
      </c>
      <c r="E6" t="s">
        <v>113</v>
      </c>
      <c r="F6" t="s">
        <v>114</v>
      </c>
      <c r="G6" t="s">
        <v>115</v>
      </c>
      <c r="H6" t="s">
        <v>116</v>
      </c>
      <c r="I6" t="s">
        <v>1260</v>
      </c>
      <c r="J6" t="s">
        <v>118</v>
      </c>
      <c r="K6" t="s">
        <v>119</v>
      </c>
      <c r="L6" t="s">
        <v>120</v>
      </c>
      <c r="M6" t="s">
        <v>121</v>
      </c>
      <c r="N6" t="s">
        <v>122</v>
      </c>
      <c r="P6" t="s">
        <v>54</v>
      </c>
      <c r="Q6" t="s">
        <v>178</v>
      </c>
      <c r="R6" t="s">
        <v>135</v>
      </c>
      <c r="S6" t="s">
        <v>143</v>
      </c>
      <c r="T6" t="s">
        <v>1261</v>
      </c>
      <c r="U6" t="s">
        <v>145</v>
      </c>
      <c r="V6" t="s">
        <v>128</v>
      </c>
      <c r="W6" t="s">
        <v>1262</v>
      </c>
      <c r="X6" t="s">
        <v>1232</v>
      </c>
      <c r="Y6" t="s">
        <v>128</v>
      </c>
      <c r="Z6" t="s">
        <v>458</v>
      </c>
      <c r="AA6" t="s">
        <v>149</v>
      </c>
    </row>
    <row r="7" spans="1:27">
      <c r="A7" t="s">
        <v>1263</v>
      </c>
      <c r="B7" s="1">
        <v>41474</v>
      </c>
      <c r="C7" t="s">
        <v>111</v>
      </c>
      <c r="D7" t="s">
        <v>112</v>
      </c>
      <c r="E7" t="s">
        <v>113</v>
      </c>
      <c r="F7" t="s">
        <v>114</v>
      </c>
      <c r="G7" t="s">
        <v>115</v>
      </c>
      <c r="H7" t="s">
        <v>116</v>
      </c>
      <c r="I7" t="s">
        <v>1264</v>
      </c>
      <c r="J7" t="s">
        <v>118</v>
      </c>
      <c r="K7" t="s">
        <v>119</v>
      </c>
      <c r="L7" t="s">
        <v>120</v>
      </c>
      <c r="M7" t="s">
        <v>121</v>
      </c>
      <c r="N7" t="s">
        <v>122</v>
      </c>
      <c r="P7" t="s">
        <v>52</v>
      </c>
      <c r="Q7" t="s">
        <v>343</v>
      </c>
      <c r="R7" t="s">
        <v>1265</v>
      </c>
      <c r="S7" t="s">
        <v>264</v>
      </c>
      <c r="T7" t="s">
        <v>290</v>
      </c>
      <c r="U7" t="s">
        <v>145</v>
      </c>
      <c r="V7" t="s">
        <v>231</v>
      </c>
      <c r="W7" t="s">
        <v>1266</v>
      </c>
      <c r="X7" t="s">
        <v>1232</v>
      </c>
      <c r="Y7" t="s">
        <v>231</v>
      </c>
      <c r="Z7" t="s">
        <v>152</v>
      </c>
      <c r="AA7" t="s">
        <v>268</v>
      </c>
    </row>
    <row r="8" spans="1:27">
      <c r="A8" t="s">
        <v>1267</v>
      </c>
      <c r="B8" s="1">
        <v>41474</v>
      </c>
      <c r="C8" t="s">
        <v>111</v>
      </c>
      <c r="D8" t="s">
        <v>112</v>
      </c>
      <c r="E8" t="s">
        <v>113</v>
      </c>
      <c r="F8" t="s">
        <v>114</v>
      </c>
      <c r="G8" t="s">
        <v>115</v>
      </c>
      <c r="H8" t="s">
        <v>116</v>
      </c>
      <c r="I8" t="s">
        <v>1177</v>
      </c>
      <c r="J8" t="s">
        <v>118</v>
      </c>
      <c r="K8" t="s">
        <v>119</v>
      </c>
      <c r="L8" t="s">
        <v>120</v>
      </c>
      <c r="M8" t="s">
        <v>121</v>
      </c>
      <c r="N8" t="s">
        <v>122</v>
      </c>
      <c r="P8" t="s">
        <v>53</v>
      </c>
      <c r="Q8" t="s">
        <v>123</v>
      </c>
      <c r="R8" t="s">
        <v>135</v>
      </c>
      <c r="S8" t="s">
        <v>143</v>
      </c>
      <c r="T8" t="s">
        <v>1268</v>
      </c>
      <c r="V8" t="s">
        <v>128</v>
      </c>
      <c r="W8" t="s">
        <v>1269</v>
      </c>
      <c r="X8" t="s">
        <v>1270</v>
      </c>
      <c r="Y8" t="s">
        <v>128</v>
      </c>
      <c r="Z8" t="s">
        <v>1110</v>
      </c>
      <c r="AA8" t="s">
        <v>138</v>
      </c>
    </row>
    <row r="9" spans="1:27">
      <c r="A9" t="s">
        <v>1131</v>
      </c>
      <c r="B9" s="1">
        <v>41474</v>
      </c>
      <c r="C9" t="s">
        <v>111</v>
      </c>
      <c r="D9" t="s">
        <v>112</v>
      </c>
      <c r="E9" t="s">
        <v>113</v>
      </c>
      <c r="F9" t="s">
        <v>114</v>
      </c>
      <c r="G9" t="s">
        <v>115</v>
      </c>
      <c r="H9" t="s">
        <v>116</v>
      </c>
      <c r="I9" t="s">
        <v>1132</v>
      </c>
      <c r="J9" t="s">
        <v>118</v>
      </c>
      <c r="K9" t="s">
        <v>119</v>
      </c>
      <c r="L9" t="s">
        <v>120</v>
      </c>
      <c r="M9" t="s">
        <v>121</v>
      </c>
      <c r="N9" t="s">
        <v>122</v>
      </c>
      <c r="P9" t="s">
        <v>54</v>
      </c>
      <c r="Q9" t="s">
        <v>235</v>
      </c>
      <c r="R9" t="s">
        <v>135</v>
      </c>
      <c r="S9" t="s">
        <v>168</v>
      </c>
      <c r="T9" t="s">
        <v>1133</v>
      </c>
      <c r="U9" t="s">
        <v>127</v>
      </c>
      <c r="V9" t="s">
        <v>128</v>
      </c>
      <c r="W9" t="s">
        <v>644</v>
      </c>
      <c r="X9" t="s">
        <v>267</v>
      </c>
      <c r="Y9" t="s">
        <v>128</v>
      </c>
      <c r="Z9" t="s">
        <v>148</v>
      </c>
      <c r="AA9" t="s">
        <v>304</v>
      </c>
    </row>
    <row r="10" spans="1:27">
      <c r="A10" t="s">
        <v>1271</v>
      </c>
      <c r="B10" s="1">
        <v>41474</v>
      </c>
      <c r="C10" t="s">
        <v>111</v>
      </c>
      <c r="D10" t="s">
        <v>112</v>
      </c>
      <c r="E10" t="s">
        <v>113</v>
      </c>
      <c r="F10" t="s">
        <v>114</v>
      </c>
      <c r="G10" t="s">
        <v>115</v>
      </c>
      <c r="H10" t="s">
        <v>116</v>
      </c>
      <c r="I10" t="s">
        <v>1272</v>
      </c>
      <c r="J10" t="s">
        <v>118</v>
      </c>
      <c r="K10" t="s">
        <v>119</v>
      </c>
      <c r="L10" t="s">
        <v>120</v>
      </c>
      <c r="M10" t="s">
        <v>121</v>
      </c>
      <c r="N10" t="s">
        <v>122</v>
      </c>
      <c r="P10" t="s">
        <v>53</v>
      </c>
      <c r="Q10" t="s">
        <v>309</v>
      </c>
      <c r="R10" t="s">
        <v>135</v>
      </c>
      <c r="S10" t="s">
        <v>125</v>
      </c>
      <c r="T10" t="s">
        <v>290</v>
      </c>
      <c r="U10" t="s">
        <v>127</v>
      </c>
      <c r="V10" t="s">
        <v>128</v>
      </c>
      <c r="W10" t="s">
        <v>1273</v>
      </c>
      <c r="X10" t="s">
        <v>1270</v>
      </c>
      <c r="Y10" t="s">
        <v>128</v>
      </c>
      <c r="Z10" t="s">
        <v>340</v>
      </c>
      <c r="AA10" t="s">
        <v>268</v>
      </c>
    </row>
    <row r="11" spans="1:27">
      <c r="A11" t="s">
        <v>1164</v>
      </c>
      <c r="B11" s="1">
        <v>41474</v>
      </c>
      <c r="C11" t="s">
        <v>111</v>
      </c>
      <c r="D11" t="s">
        <v>112</v>
      </c>
      <c r="E11" t="s">
        <v>113</v>
      </c>
      <c r="F11" t="s">
        <v>114</v>
      </c>
      <c r="G11" t="s">
        <v>115</v>
      </c>
      <c r="H11" t="s">
        <v>116</v>
      </c>
      <c r="I11" t="s">
        <v>1165</v>
      </c>
      <c r="J11" t="s">
        <v>118</v>
      </c>
      <c r="K11" t="s">
        <v>119</v>
      </c>
      <c r="L11" t="s">
        <v>120</v>
      </c>
      <c r="M11" t="s">
        <v>121</v>
      </c>
      <c r="N11" t="s">
        <v>122</v>
      </c>
      <c r="P11" t="s">
        <v>53</v>
      </c>
      <c r="Q11" t="s">
        <v>1166</v>
      </c>
      <c r="R11" t="s">
        <v>135</v>
      </c>
      <c r="S11" t="s">
        <v>143</v>
      </c>
      <c r="T11" t="s">
        <v>1167</v>
      </c>
      <c r="U11" t="s">
        <v>127</v>
      </c>
      <c r="V11" t="s">
        <v>128</v>
      </c>
      <c r="W11" t="s">
        <v>181</v>
      </c>
      <c r="X11" t="s">
        <v>1158</v>
      </c>
      <c r="Y11" t="s">
        <v>128</v>
      </c>
      <c r="Z11" t="s">
        <v>337</v>
      </c>
      <c r="AA11" t="s">
        <v>138</v>
      </c>
    </row>
    <row r="12" spans="1:27">
      <c r="A12" t="s">
        <v>1274</v>
      </c>
      <c r="B12" s="1">
        <v>41474</v>
      </c>
      <c r="C12" t="s">
        <v>111</v>
      </c>
      <c r="D12" t="s">
        <v>112</v>
      </c>
      <c r="E12" t="s">
        <v>113</v>
      </c>
      <c r="F12" t="s">
        <v>114</v>
      </c>
      <c r="G12" t="s">
        <v>115</v>
      </c>
      <c r="H12" t="s">
        <v>116</v>
      </c>
      <c r="I12" t="s">
        <v>1275</v>
      </c>
      <c r="J12" t="s">
        <v>118</v>
      </c>
      <c r="K12" t="s">
        <v>119</v>
      </c>
      <c r="L12" t="s">
        <v>120</v>
      </c>
      <c r="M12" t="s">
        <v>121</v>
      </c>
      <c r="N12" t="s">
        <v>122</v>
      </c>
      <c r="P12" t="s">
        <v>53</v>
      </c>
      <c r="Q12" t="s">
        <v>411</v>
      </c>
      <c r="R12" t="s">
        <v>135</v>
      </c>
      <c r="S12" t="s">
        <v>295</v>
      </c>
      <c r="T12" t="s">
        <v>272</v>
      </c>
      <c r="U12" t="s">
        <v>286</v>
      </c>
      <c r="V12" t="s">
        <v>170</v>
      </c>
      <c r="W12" t="s">
        <v>1276</v>
      </c>
      <c r="X12" t="s">
        <v>1270</v>
      </c>
      <c r="Y12" t="s">
        <v>170</v>
      </c>
      <c r="Z12" t="s">
        <v>196</v>
      </c>
      <c r="AA12" t="s">
        <v>138</v>
      </c>
    </row>
    <row r="13" spans="1:27">
      <c r="A13" t="s">
        <v>1277</v>
      </c>
      <c r="B13" s="1">
        <v>41474</v>
      </c>
      <c r="C13" t="s">
        <v>111</v>
      </c>
      <c r="D13" t="s">
        <v>112</v>
      </c>
      <c r="E13" t="s">
        <v>113</v>
      </c>
      <c r="F13" t="s">
        <v>114</v>
      </c>
      <c r="G13" t="s">
        <v>115</v>
      </c>
      <c r="I13" t="s">
        <v>1278</v>
      </c>
      <c r="J13" t="s">
        <v>118</v>
      </c>
      <c r="K13" t="s">
        <v>119</v>
      </c>
      <c r="L13" t="s">
        <v>120</v>
      </c>
      <c r="M13" t="s">
        <v>121</v>
      </c>
      <c r="N13" t="s">
        <v>199</v>
      </c>
      <c r="O13" t="s">
        <v>7</v>
      </c>
      <c r="P13" t="s">
        <v>52</v>
      </c>
      <c r="Q13" t="s">
        <v>123</v>
      </c>
      <c r="S13" t="s">
        <v>168</v>
      </c>
      <c r="T13" t="s">
        <v>169</v>
      </c>
      <c r="W13" t="s">
        <v>171</v>
      </c>
      <c r="X13" t="s">
        <v>1270</v>
      </c>
      <c r="Z13" t="s">
        <v>152</v>
      </c>
      <c r="AA13" t="s">
        <v>174</v>
      </c>
    </row>
    <row r="14" spans="1:27">
      <c r="A14" t="s">
        <v>1280</v>
      </c>
      <c r="B14" s="1">
        <v>41474</v>
      </c>
      <c r="C14" t="s">
        <v>111</v>
      </c>
      <c r="D14" t="s">
        <v>112</v>
      </c>
      <c r="E14" t="s">
        <v>113</v>
      </c>
      <c r="F14" t="s">
        <v>114</v>
      </c>
      <c r="G14" t="s">
        <v>115</v>
      </c>
      <c r="I14" t="s">
        <v>1281</v>
      </c>
      <c r="J14" t="s">
        <v>118</v>
      </c>
      <c r="K14" t="s">
        <v>119</v>
      </c>
      <c r="L14" t="s">
        <v>120</v>
      </c>
      <c r="M14" t="s">
        <v>121</v>
      </c>
      <c r="N14" t="s">
        <v>199</v>
      </c>
      <c r="O14" t="s">
        <v>3</v>
      </c>
      <c r="P14" t="s">
        <v>54</v>
      </c>
      <c r="Q14" t="s">
        <v>1282</v>
      </c>
      <c r="S14" t="s">
        <v>143</v>
      </c>
      <c r="T14" t="s">
        <v>272</v>
      </c>
      <c r="W14" t="s">
        <v>194</v>
      </c>
      <c r="X14" t="s">
        <v>1270</v>
      </c>
      <c r="Z14" t="s">
        <v>633</v>
      </c>
      <c r="AA14" t="s">
        <v>138</v>
      </c>
    </row>
    <row r="15" spans="1:27">
      <c r="A15" t="s">
        <v>1183</v>
      </c>
      <c r="B15" s="1">
        <v>41474</v>
      </c>
      <c r="C15" t="s">
        <v>111</v>
      </c>
      <c r="D15" t="s">
        <v>112</v>
      </c>
      <c r="E15" t="s">
        <v>113</v>
      </c>
      <c r="F15" t="s">
        <v>114</v>
      </c>
      <c r="G15" t="s">
        <v>115</v>
      </c>
      <c r="I15" t="s">
        <v>1184</v>
      </c>
      <c r="J15" t="s">
        <v>118</v>
      </c>
      <c r="K15" t="s">
        <v>119</v>
      </c>
      <c r="L15" t="s">
        <v>120</v>
      </c>
      <c r="M15" t="s">
        <v>121</v>
      </c>
      <c r="N15" t="s">
        <v>199</v>
      </c>
      <c r="O15" t="s">
        <v>3</v>
      </c>
      <c r="P15" t="s">
        <v>52</v>
      </c>
      <c r="Q15" t="s">
        <v>159</v>
      </c>
      <c r="S15" t="s">
        <v>143</v>
      </c>
      <c r="T15" t="s">
        <v>1185</v>
      </c>
      <c r="W15" t="s">
        <v>1284</v>
      </c>
      <c r="X15" t="s">
        <v>1187</v>
      </c>
      <c r="Z15" t="s">
        <v>340</v>
      </c>
      <c r="AA15" t="s">
        <v>164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>
  <sheetPr codeName="Plan38"/>
  <dimension ref="A1:AA6"/>
  <sheetViews>
    <sheetView workbookViewId="0">
      <selection activeCell="I2" sqref="I2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1280</v>
      </c>
      <c r="B2" s="1">
        <v>41474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I2" t="s">
        <v>1281</v>
      </c>
      <c r="J2" t="s">
        <v>118</v>
      </c>
      <c r="K2" t="s">
        <v>119</v>
      </c>
      <c r="L2" t="s">
        <v>120</v>
      </c>
      <c r="M2" t="s">
        <v>121</v>
      </c>
      <c r="N2" t="s">
        <v>199</v>
      </c>
      <c r="O2" t="s">
        <v>3</v>
      </c>
      <c r="P2" t="s">
        <v>54</v>
      </c>
      <c r="Q2" t="s">
        <v>1282</v>
      </c>
      <c r="S2" t="s">
        <v>143</v>
      </c>
      <c r="T2" t="s">
        <v>272</v>
      </c>
      <c r="W2" t="s">
        <v>194</v>
      </c>
      <c r="X2" t="s">
        <v>1270</v>
      </c>
      <c r="Z2" t="s">
        <v>633</v>
      </c>
      <c r="AA2" t="s">
        <v>138</v>
      </c>
    </row>
    <row r="3" spans="1:27">
      <c r="A3" t="s">
        <v>1183</v>
      </c>
      <c r="B3" s="1">
        <v>41474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I3" t="s">
        <v>1184</v>
      </c>
      <c r="J3" t="s">
        <v>118</v>
      </c>
      <c r="K3" t="s">
        <v>119</v>
      </c>
      <c r="L3" t="s">
        <v>120</v>
      </c>
      <c r="M3" t="s">
        <v>121</v>
      </c>
      <c r="N3" t="s">
        <v>199</v>
      </c>
      <c r="O3" t="s">
        <v>3</v>
      </c>
      <c r="P3" t="s">
        <v>52</v>
      </c>
      <c r="Q3" t="s">
        <v>159</v>
      </c>
      <c r="S3" t="s">
        <v>143</v>
      </c>
      <c r="T3" t="s">
        <v>1185</v>
      </c>
      <c r="W3" t="s">
        <v>1284</v>
      </c>
      <c r="X3" t="s">
        <v>1187</v>
      </c>
      <c r="Z3" t="s">
        <v>340</v>
      </c>
      <c r="AA3" t="s">
        <v>164</v>
      </c>
    </row>
    <row r="4" spans="1:27">
      <c r="A4" t="s">
        <v>1279</v>
      </c>
      <c r="B4" s="1">
        <v>41474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I4" t="s">
        <v>1221</v>
      </c>
      <c r="J4" t="s">
        <v>118</v>
      </c>
      <c r="K4" t="s">
        <v>119</v>
      </c>
      <c r="L4" t="s">
        <v>120</v>
      </c>
      <c r="M4" t="s">
        <v>121</v>
      </c>
      <c r="N4" t="s">
        <v>199</v>
      </c>
      <c r="O4" t="s">
        <v>61</v>
      </c>
      <c r="P4" t="s">
        <v>52</v>
      </c>
      <c r="Q4" t="s">
        <v>586</v>
      </c>
      <c r="S4" t="s">
        <v>1222</v>
      </c>
      <c r="T4" t="s">
        <v>285</v>
      </c>
      <c r="W4" t="s">
        <v>1249</v>
      </c>
      <c r="X4" t="s">
        <v>1217</v>
      </c>
      <c r="Z4" t="s">
        <v>225</v>
      </c>
      <c r="AA4" t="s">
        <v>268</v>
      </c>
    </row>
    <row r="5" spans="1:27">
      <c r="A5" t="s">
        <v>1277</v>
      </c>
      <c r="B5" s="1">
        <v>41474</v>
      </c>
      <c r="C5" t="s">
        <v>111</v>
      </c>
      <c r="D5" t="s">
        <v>112</v>
      </c>
      <c r="E5" t="s">
        <v>113</v>
      </c>
      <c r="F5" t="s">
        <v>114</v>
      </c>
      <c r="G5" t="s">
        <v>115</v>
      </c>
      <c r="I5" t="s">
        <v>1278</v>
      </c>
      <c r="J5" t="s">
        <v>118</v>
      </c>
      <c r="K5" t="s">
        <v>119</v>
      </c>
      <c r="L5" t="s">
        <v>120</v>
      </c>
      <c r="M5" t="s">
        <v>121</v>
      </c>
      <c r="N5" t="s">
        <v>199</v>
      </c>
      <c r="O5" t="s">
        <v>7</v>
      </c>
      <c r="P5" t="s">
        <v>52</v>
      </c>
      <c r="Q5" t="s">
        <v>123</v>
      </c>
      <c r="S5" t="s">
        <v>168</v>
      </c>
      <c r="T5" t="s">
        <v>169</v>
      </c>
      <c r="W5" t="s">
        <v>171</v>
      </c>
      <c r="X5" t="s">
        <v>1270</v>
      </c>
      <c r="Z5" t="s">
        <v>152</v>
      </c>
      <c r="AA5" t="s">
        <v>174</v>
      </c>
    </row>
    <row r="6" spans="1:27">
      <c r="A6" t="s">
        <v>1283</v>
      </c>
      <c r="B6" s="1">
        <v>41474</v>
      </c>
      <c r="C6" t="s">
        <v>111</v>
      </c>
      <c r="D6" t="s">
        <v>112</v>
      </c>
      <c r="E6" t="s">
        <v>113</v>
      </c>
      <c r="F6" t="s">
        <v>114</v>
      </c>
      <c r="G6" t="s">
        <v>115</v>
      </c>
      <c r="I6" t="s">
        <v>301</v>
      </c>
      <c r="J6" t="s">
        <v>118</v>
      </c>
      <c r="K6" t="s">
        <v>119</v>
      </c>
      <c r="L6" t="s">
        <v>120</v>
      </c>
      <c r="M6" t="s">
        <v>121</v>
      </c>
      <c r="N6" t="s">
        <v>199</v>
      </c>
      <c r="O6" t="s">
        <v>10</v>
      </c>
      <c r="P6" t="s">
        <v>53</v>
      </c>
      <c r="Q6" t="s">
        <v>1026</v>
      </c>
      <c r="S6" t="s">
        <v>295</v>
      </c>
      <c r="T6" t="s">
        <v>272</v>
      </c>
      <c r="W6" t="s">
        <v>644</v>
      </c>
      <c r="X6" t="s">
        <v>182</v>
      </c>
      <c r="Z6" t="s">
        <v>303</v>
      </c>
      <c r="AA6" t="s">
        <v>304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9.xml><?xml version="1.0" encoding="utf-8"?>
<worksheet xmlns="http://schemas.openxmlformats.org/spreadsheetml/2006/main" xmlns:r="http://schemas.openxmlformats.org/officeDocument/2006/relationships">
  <sheetPr codeName="Plan39"/>
  <dimension ref="A1:AA9"/>
  <sheetViews>
    <sheetView workbookViewId="0">
      <selection activeCell="I3" sqref="I3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1285</v>
      </c>
      <c r="B2" s="1">
        <v>41475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H2" t="s">
        <v>116</v>
      </c>
      <c r="I2" t="s">
        <v>1286</v>
      </c>
      <c r="J2" t="s">
        <v>118</v>
      </c>
      <c r="K2" t="s">
        <v>119</v>
      </c>
      <c r="L2" t="s">
        <v>120</v>
      </c>
      <c r="M2" t="s">
        <v>121</v>
      </c>
      <c r="N2" t="s">
        <v>122</v>
      </c>
      <c r="P2" t="s">
        <v>54</v>
      </c>
      <c r="Q2" t="s">
        <v>1282</v>
      </c>
      <c r="R2" t="s">
        <v>135</v>
      </c>
      <c r="S2" t="s">
        <v>168</v>
      </c>
      <c r="T2" t="s">
        <v>169</v>
      </c>
      <c r="U2" t="s">
        <v>127</v>
      </c>
      <c r="V2" t="s">
        <v>128</v>
      </c>
      <c r="W2" t="s">
        <v>171</v>
      </c>
      <c r="X2" t="s">
        <v>1287</v>
      </c>
      <c r="Y2" t="s">
        <v>128</v>
      </c>
      <c r="Z2" t="s">
        <v>431</v>
      </c>
      <c r="AA2" t="s">
        <v>174</v>
      </c>
    </row>
    <row r="3" spans="1:27">
      <c r="A3" t="s">
        <v>1288</v>
      </c>
      <c r="B3" s="1">
        <v>41475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H3" t="s">
        <v>116</v>
      </c>
      <c r="I3" t="s">
        <v>1289</v>
      </c>
      <c r="J3" t="s">
        <v>118</v>
      </c>
      <c r="K3" t="s">
        <v>119</v>
      </c>
      <c r="L3" t="s">
        <v>120</v>
      </c>
      <c r="M3" t="s">
        <v>121</v>
      </c>
      <c r="N3" t="s">
        <v>122</v>
      </c>
      <c r="P3" t="s">
        <v>54</v>
      </c>
      <c r="Q3" t="s">
        <v>211</v>
      </c>
      <c r="R3" t="s">
        <v>135</v>
      </c>
      <c r="S3" t="s">
        <v>143</v>
      </c>
      <c r="T3" t="s">
        <v>912</v>
      </c>
      <c r="U3" t="s">
        <v>127</v>
      </c>
      <c r="V3" t="s">
        <v>128</v>
      </c>
      <c r="W3" t="s">
        <v>1290</v>
      </c>
      <c r="X3" t="s">
        <v>1217</v>
      </c>
      <c r="Y3" t="s">
        <v>128</v>
      </c>
      <c r="Z3" t="s">
        <v>350</v>
      </c>
      <c r="AA3" t="s">
        <v>138</v>
      </c>
    </row>
    <row r="4" spans="1:27">
      <c r="A4" t="s">
        <v>1200</v>
      </c>
      <c r="B4" s="1">
        <v>41475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I4" t="s">
        <v>1201</v>
      </c>
      <c r="J4" t="s">
        <v>118</v>
      </c>
      <c r="K4" t="s">
        <v>119</v>
      </c>
      <c r="L4" t="s">
        <v>120</v>
      </c>
      <c r="M4" t="s">
        <v>121</v>
      </c>
      <c r="N4" t="s">
        <v>199</v>
      </c>
      <c r="O4" t="s">
        <v>1108</v>
      </c>
      <c r="P4" t="s">
        <v>52</v>
      </c>
      <c r="Q4" t="s">
        <v>1202</v>
      </c>
      <c r="S4" t="s">
        <v>125</v>
      </c>
      <c r="T4" t="s">
        <v>1203</v>
      </c>
      <c r="W4" t="s">
        <v>1291</v>
      </c>
      <c r="X4" t="s">
        <v>1199</v>
      </c>
      <c r="Z4" t="s">
        <v>281</v>
      </c>
      <c r="AA4" t="s">
        <v>138</v>
      </c>
    </row>
    <row r="5" spans="1:27">
      <c r="A5" t="s">
        <v>1292</v>
      </c>
      <c r="B5" s="1">
        <v>41475</v>
      </c>
      <c r="C5" t="s">
        <v>111</v>
      </c>
      <c r="D5" t="s">
        <v>112</v>
      </c>
      <c r="E5" t="s">
        <v>113</v>
      </c>
      <c r="F5" t="s">
        <v>114</v>
      </c>
      <c r="G5" t="s">
        <v>115</v>
      </c>
      <c r="I5" t="s">
        <v>1293</v>
      </c>
      <c r="J5" t="s">
        <v>118</v>
      </c>
      <c r="K5" t="s">
        <v>119</v>
      </c>
      <c r="L5" t="s">
        <v>120</v>
      </c>
      <c r="M5" t="s">
        <v>121</v>
      </c>
      <c r="N5" t="s">
        <v>199</v>
      </c>
      <c r="O5" t="s">
        <v>6</v>
      </c>
      <c r="P5" t="s">
        <v>52</v>
      </c>
      <c r="Q5" t="s">
        <v>123</v>
      </c>
      <c r="S5" t="s">
        <v>168</v>
      </c>
      <c r="T5" t="s">
        <v>1031</v>
      </c>
      <c r="W5" t="s">
        <v>1114</v>
      </c>
      <c r="X5" t="s">
        <v>1287</v>
      </c>
      <c r="Z5" t="s">
        <v>340</v>
      </c>
      <c r="AA5" t="s">
        <v>655</v>
      </c>
    </row>
    <row r="6" spans="1:27">
      <c r="A6" t="s">
        <v>1294</v>
      </c>
      <c r="B6" s="1">
        <v>41475</v>
      </c>
      <c r="C6" t="s">
        <v>111</v>
      </c>
      <c r="D6" t="s">
        <v>112</v>
      </c>
      <c r="E6" t="s">
        <v>113</v>
      </c>
      <c r="F6" t="s">
        <v>114</v>
      </c>
      <c r="G6" t="s">
        <v>115</v>
      </c>
      <c r="I6" t="s">
        <v>1295</v>
      </c>
      <c r="J6" t="s">
        <v>118</v>
      </c>
      <c r="K6" t="s">
        <v>119</v>
      </c>
      <c r="L6" t="s">
        <v>120</v>
      </c>
      <c r="M6" t="s">
        <v>121</v>
      </c>
      <c r="N6" t="s">
        <v>199</v>
      </c>
      <c r="O6" t="s">
        <v>3</v>
      </c>
      <c r="P6" t="s">
        <v>52</v>
      </c>
      <c r="Q6" t="s">
        <v>123</v>
      </c>
      <c r="S6" t="s">
        <v>168</v>
      </c>
      <c r="T6" t="s">
        <v>1031</v>
      </c>
      <c r="W6" t="s">
        <v>1114</v>
      </c>
      <c r="X6" t="s">
        <v>1287</v>
      </c>
      <c r="Z6" t="s">
        <v>281</v>
      </c>
      <c r="AA6" t="s">
        <v>655</v>
      </c>
    </row>
    <row r="7" spans="1:27">
      <c r="A7" t="s">
        <v>1296</v>
      </c>
      <c r="B7" s="1">
        <v>41475</v>
      </c>
      <c r="C7" t="s">
        <v>111</v>
      </c>
      <c r="D7" t="s">
        <v>112</v>
      </c>
      <c r="E7" t="s">
        <v>113</v>
      </c>
      <c r="F7" t="s">
        <v>114</v>
      </c>
      <c r="G7" t="s">
        <v>115</v>
      </c>
      <c r="I7" t="s">
        <v>1297</v>
      </c>
      <c r="J7" t="s">
        <v>118</v>
      </c>
      <c r="K7" t="s">
        <v>119</v>
      </c>
      <c r="L7" t="s">
        <v>120</v>
      </c>
      <c r="M7" t="s">
        <v>121</v>
      </c>
      <c r="N7" t="s">
        <v>199</v>
      </c>
      <c r="O7" t="s">
        <v>3</v>
      </c>
      <c r="P7" t="s">
        <v>52</v>
      </c>
      <c r="Q7" t="s">
        <v>123</v>
      </c>
      <c r="S7" t="s">
        <v>168</v>
      </c>
      <c r="T7" t="s">
        <v>1031</v>
      </c>
      <c r="W7" t="s">
        <v>1114</v>
      </c>
      <c r="X7" t="s">
        <v>1287</v>
      </c>
      <c r="Z7" t="s">
        <v>281</v>
      </c>
      <c r="AA7" t="s">
        <v>655</v>
      </c>
    </row>
    <row r="8" spans="1:27">
      <c r="A8" t="s">
        <v>1298</v>
      </c>
      <c r="B8" s="1">
        <v>41475</v>
      </c>
      <c r="C8" t="s">
        <v>111</v>
      </c>
      <c r="D8" t="s">
        <v>112</v>
      </c>
      <c r="E8" t="s">
        <v>113</v>
      </c>
      <c r="F8" t="s">
        <v>114</v>
      </c>
      <c r="G8" t="s">
        <v>115</v>
      </c>
      <c r="I8" t="s">
        <v>1299</v>
      </c>
      <c r="J8" t="s">
        <v>118</v>
      </c>
      <c r="K8" t="s">
        <v>119</v>
      </c>
      <c r="L8" t="s">
        <v>120</v>
      </c>
      <c r="M8" t="s">
        <v>121</v>
      </c>
      <c r="N8" t="s">
        <v>199</v>
      </c>
      <c r="O8" t="s">
        <v>10</v>
      </c>
      <c r="P8" t="s">
        <v>52</v>
      </c>
      <c r="Q8" t="s">
        <v>123</v>
      </c>
      <c r="S8" t="s">
        <v>125</v>
      </c>
      <c r="T8" t="s">
        <v>1031</v>
      </c>
      <c r="W8" t="s">
        <v>1114</v>
      </c>
      <c r="X8" t="s">
        <v>1287</v>
      </c>
      <c r="Z8" t="s">
        <v>1110</v>
      </c>
      <c r="AA8" t="s">
        <v>655</v>
      </c>
    </row>
    <row r="9" spans="1:27">
      <c r="A9" t="s">
        <v>1300</v>
      </c>
      <c r="B9" s="1">
        <v>41475</v>
      </c>
      <c r="C9" t="s">
        <v>111</v>
      </c>
      <c r="D9" t="s">
        <v>112</v>
      </c>
      <c r="E9" t="s">
        <v>113</v>
      </c>
      <c r="F9" t="s">
        <v>114</v>
      </c>
      <c r="G9" t="s">
        <v>115</v>
      </c>
      <c r="I9" t="s">
        <v>1301</v>
      </c>
      <c r="J9" t="s">
        <v>118</v>
      </c>
      <c r="K9" t="s">
        <v>119</v>
      </c>
      <c r="L9" t="s">
        <v>120</v>
      </c>
      <c r="M9" t="s">
        <v>121</v>
      </c>
      <c r="N9" t="s">
        <v>199</v>
      </c>
      <c r="O9" t="s">
        <v>10</v>
      </c>
      <c r="P9" t="s">
        <v>52</v>
      </c>
      <c r="Q9" t="s">
        <v>123</v>
      </c>
      <c r="S9" t="s">
        <v>168</v>
      </c>
      <c r="T9" t="s">
        <v>1031</v>
      </c>
      <c r="W9" t="s">
        <v>1114</v>
      </c>
      <c r="X9" t="s">
        <v>1287</v>
      </c>
      <c r="Z9" t="s">
        <v>148</v>
      </c>
      <c r="AA9" t="s">
        <v>655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0.xml><?xml version="1.0" encoding="utf-8"?>
<worksheet xmlns="http://schemas.openxmlformats.org/spreadsheetml/2006/main" xmlns:r="http://schemas.openxmlformats.org/officeDocument/2006/relationships">
  <sheetPr codeName="Plan40"/>
  <dimension ref="A1:AA7"/>
  <sheetViews>
    <sheetView workbookViewId="0">
      <selection activeCell="I2" sqref="I2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1294</v>
      </c>
      <c r="B2" s="1">
        <v>41475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I2" t="s">
        <v>1295</v>
      </c>
      <c r="J2" t="s">
        <v>118</v>
      </c>
      <c r="K2" t="s">
        <v>119</v>
      </c>
      <c r="L2" t="s">
        <v>120</v>
      </c>
      <c r="M2" t="s">
        <v>121</v>
      </c>
      <c r="N2" t="s">
        <v>199</v>
      </c>
      <c r="O2" t="s">
        <v>3</v>
      </c>
      <c r="P2" t="s">
        <v>52</v>
      </c>
      <c r="Q2" t="s">
        <v>123</v>
      </c>
      <c r="S2" t="s">
        <v>168</v>
      </c>
      <c r="T2" t="s">
        <v>1031</v>
      </c>
      <c r="W2" t="s">
        <v>1114</v>
      </c>
      <c r="X2" t="s">
        <v>1287</v>
      </c>
      <c r="Z2" t="s">
        <v>281</v>
      </c>
      <c r="AA2" t="s">
        <v>655</v>
      </c>
    </row>
    <row r="3" spans="1:27">
      <c r="A3" t="s">
        <v>1296</v>
      </c>
      <c r="B3" s="1">
        <v>41475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I3" t="s">
        <v>1297</v>
      </c>
      <c r="J3" t="s">
        <v>118</v>
      </c>
      <c r="K3" t="s">
        <v>119</v>
      </c>
      <c r="L3" t="s">
        <v>120</v>
      </c>
      <c r="M3" t="s">
        <v>121</v>
      </c>
      <c r="N3" t="s">
        <v>199</v>
      </c>
      <c r="O3" t="s">
        <v>3</v>
      </c>
      <c r="P3" t="s">
        <v>52</v>
      </c>
      <c r="Q3" t="s">
        <v>123</v>
      </c>
      <c r="S3" t="s">
        <v>168</v>
      </c>
      <c r="T3" t="s">
        <v>1031</v>
      </c>
      <c r="W3" t="s">
        <v>1114</v>
      </c>
      <c r="X3" t="s">
        <v>1287</v>
      </c>
      <c r="Z3" t="s">
        <v>281</v>
      </c>
      <c r="AA3" t="s">
        <v>655</v>
      </c>
    </row>
    <row r="4" spans="1:27">
      <c r="A4" t="s">
        <v>1292</v>
      </c>
      <c r="B4" s="1">
        <v>41475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I4" t="s">
        <v>1293</v>
      </c>
      <c r="J4" t="s">
        <v>118</v>
      </c>
      <c r="K4" t="s">
        <v>119</v>
      </c>
      <c r="L4" t="s">
        <v>120</v>
      </c>
      <c r="M4" t="s">
        <v>121</v>
      </c>
      <c r="N4" t="s">
        <v>199</v>
      </c>
      <c r="O4" t="s">
        <v>6</v>
      </c>
      <c r="P4" t="s">
        <v>52</v>
      </c>
      <c r="Q4" t="s">
        <v>123</v>
      </c>
      <c r="S4" t="s">
        <v>168</v>
      </c>
      <c r="T4" t="s">
        <v>1031</v>
      </c>
      <c r="W4" t="s">
        <v>1114</v>
      </c>
      <c r="X4" t="s">
        <v>1287</v>
      </c>
      <c r="Z4" t="s">
        <v>340</v>
      </c>
      <c r="AA4" t="s">
        <v>655</v>
      </c>
    </row>
    <row r="5" spans="1:27">
      <c r="A5" t="s">
        <v>1298</v>
      </c>
      <c r="B5" s="1">
        <v>41475</v>
      </c>
      <c r="C5" t="s">
        <v>111</v>
      </c>
      <c r="D5" t="s">
        <v>112</v>
      </c>
      <c r="E5" t="s">
        <v>113</v>
      </c>
      <c r="F5" t="s">
        <v>114</v>
      </c>
      <c r="G5" t="s">
        <v>115</v>
      </c>
      <c r="I5" t="s">
        <v>1299</v>
      </c>
      <c r="J5" t="s">
        <v>118</v>
      </c>
      <c r="K5" t="s">
        <v>119</v>
      </c>
      <c r="L5" t="s">
        <v>120</v>
      </c>
      <c r="M5" t="s">
        <v>121</v>
      </c>
      <c r="N5" t="s">
        <v>199</v>
      </c>
      <c r="O5" t="s">
        <v>10</v>
      </c>
      <c r="P5" t="s">
        <v>52</v>
      </c>
      <c r="Q5" t="s">
        <v>123</v>
      </c>
      <c r="S5" t="s">
        <v>125</v>
      </c>
      <c r="T5" t="s">
        <v>1031</v>
      </c>
      <c r="W5" t="s">
        <v>1114</v>
      </c>
      <c r="X5" t="s">
        <v>1287</v>
      </c>
      <c r="Z5" t="s">
        <v>1110</v>
      </c>
      <c r="AA5" t="s">
        <v>655</v>
      </c>
    </row>
    <row r="6" spans="1:27">
      <c r="A6" t="s">
        <v>1300</v>
      </c>
      <c r="B6" s="1">
        <v>41475</v>
      </c>
      <c r="C6" t="s">
        <v>111</v>
      </c>
      <c r="D6" t="s">
        <v>112</v>
      </c>
      <c r="E6" t="s">
        <v>113</v>
      </c>
      <c r="F6" t="s">
        <v>114</v>
      </c>
      <c r="G6" t="s">
        <v>115</v>
      </c>
      <c r="I6" t="s">
        <v>1301</v>
      </c>
      <c r="J6" t="s">
        <v>118</v>
      </c>
      <c r="K6" t="s">
        <v>119</v>
      </c>
      <c r="L6" t="s">
        <v>120</v>
      </c>
      <c r="M6" t="s">
        <v>121</v>
      </c>
      <c r="N6" t="s">
        <v>199</v>
      </c>
      <c r="O6" t="s">
        <v>10</v>
      </c>
      <c r="P6" t="s">
        <v>52</v>
      </c>
      <c r="Q6" t="s">
        <v>123</v>
      </c>
      <c r="S6" t="s">
        <v>168</v>
      </c>
      <c r="T6" t="s">
        <v>1031</v>
      </c>
      <c r="W6" t="s">
        <v>1114</v>
      </c>
      <c r="X6" t="s">
        <v>1287</v>
      </c>
      <c r="Z6" t="s">
        <v>148</v>
      </c>
      <c r="AA6" t="s">
        <v>655</v>
      </c>
    </row>
    <row r="7" spans="1:27">
      <c r="A7" t="s">
        <v>1200</v>
      </c>
      <c r="B7" s="1">
        <v>41475</v>
      </c>
      <c r="C7" t="s">
        <v>111</v>
      </c>
      <c r="D7" t="s">
        <v>112</v>
      </c>
      <c r="E7" t="s">
        <v>113</v>
      </c>
      <c r="F7" t="s">
        <v>114</v>
      </c>
      <c r="G7" t="s">
        <v>115</v>
      </c>
      <c r="I7" t="s">
        <v>1201</v>
      </c>
      <c r="J7" t="s">
        <v>118</v>
      </c>
      <c r="K7" t="s">
        <v>119</v>
      </c>
      <c r="L7" t="s">
        <v>120</v>
      </c>
      <c r="M7" t="s">
        <v>121</v>
      </c>
      <c r="N7" t="s">
        <v>199</v>
      </c>
      <c r="O7" t="s">
        <v>1108</v>
      </c>
      <c r="P7" t="s">
        <v>52</v>
      </c>
      <c r="Q7" t="s">
        <v>1202</v>
      </c>
      <c r="S7" t="s">
        <v>125</v>
      </c>
      <c r="T7" t="s">
        <v>1203</v>
      </c>
      <c r="W7" t="s">
        <v>1291</v>
      </c>
      <c r="X7" t="s">
        <v>1199</v>
      </c>
      <c r="Z7" t="s">
        <v>281</v>
      </c>
      <c r="AA7" t="s">
        <v>138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4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AA8"/>
  <sheetViews>
    <sheetView workbookViewId="0">
      <selection sqref="A1:XFD1048576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1302</v>
      </c>
      <c r="B2" s="1">
        <v>41477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H2" t="s">
        <v>116</v>
      </c>
      <c r="I2" t="s">
        <v>1303</v>
      </c>
      <c r="J2" t="s">
        <v>118</v>
      </c>
      <c r="K2" t="s">
        <v>119</v>
      </c>
      <c r="L2" t="s">
        <v>120</v>
      </c>
      <c r="M2" t="s">
        <v>121</v>
      </c>
      <c r="N2" t="s">
        <v>122</v>
      </c>
      <c r="P2" t="s">
        <v>54</v>
      </c>
      <c r="Q2" t="s">
        <v>178</v>
      </c>
      <c r="R2" t="s">
        <v>1304</v>
      </c>
      <c r="S2" t="s">
        <v>143</v>
      </c>
      <c r="T2" t="s">
        <v>1071</v>
      </c>
      <c r="U2" t="s">
        <v>127</v>
      </c>
      <c r="V2" t="s">
        <v>128</v>
      </c>
      <c r="W2" t="s">
        <v>1072</v>
      </c>
      <c r="X2" t="s">
        <v>1287</v>
      </c>
      <c r="Y2" t="s">
        <v>128</v>
      </c>
      <c r="Z2" t="s">
        <v>218</v>
      </c>
      <c r="AA2" t="s">
        <v>149</v>
      </c>
    </row>
    <row r="3" spans="1:27">
      <c r="A3" t="s">
        <v>1305</v>
      </c>
      <c r="B3" s="1">
        <v>41477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H3" t="s">
        <v>116</v>
      </c>
      <c r="I3" t="s">
        <v>1303</v>
      </c>
      <c r="J3" t="s">
        <v>118</v>
      </c>
      <c r="K3" t="s">
        <v>119</v>
      </c>
      <c r="L3" t="s">
        <v>120</v>
      </c>
      <c r="M3" t="s">
        <v>121</v>
      </c>
      <c r="N3" t="s">
        <v>122</v>
      </c>
      <c r="P3" t="s">
        <v>54</v>
      </c>
      <c r="Q3" t="s">
        <v>178</v>
      </c>
      <c r="R3" t="s">
        <v>574</v>
      </c>
      <c r="S3" t="s">
        <v>143</v>
      </c>
      <c r="T3" t="s">
        <v>1071</v>
      </c>
      <c r="U3" t="s">
        <v>127</v>
      </c>
      <c r="V3" t="s">
        <v>128</v>
      </c>
      <c r="W3" t="s">
        <v>1072</v>
      </c>
      <c r="X3" t="s">
        <v>1287</v>
      </c>
      <c r="Y3" t="s">
        <v>128</v>
      </c>
      <c r="Z3" t="s">
        <v>218</v>
      </c>
      <c r="AA3" t="s">
        <v>149</v>
      </c>
    </row>
    <row r="4" spans="1:27">
      <c r="A4" t="s">
        <v>1306</v>
      </c>
      <c r="B4" s="1">
        <v>41477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H4" t="s">
        <v>116</v>
      </c>
      <c r="I4" t="s">
        <v>1303</v>
      </c>
      <c r="J4" t="s">
        <v>118</v>
      </c>
      <c r="K4" t="s">
        <v>119</v>
      </c>
      <c r="L4" t="s">
        <v>120</v>
      </c>
      <c r="M4" t="s">
        <v>121</v>
      </c>
      <c r="N4" t="s">
        <v>122</v>
      </c>
      <c r="P4" t="s">
        <v>54</v>
      </c>
      <c r="Q4" t="s">
        <v>211</v>
      </c>
      <c r="R4" t="s">
        <v>1304</v>
      </c>
      <c r="S4" t="s">
        <v>143</v>
      </c>
      <c r="T4" t="s">
        <v>1071</v>
      </c>
      <c r="U4" t="s">
        <v>127</v>
      </c>
      <c r="V4" t="s">
        <v>128</v>
      </c>
      <c r="W4" t="s">
        <v>1072</v>
      </c>
      <c r="X4" t="s">
        <v>1287</v>
      </c>
      <c r="Y4" t="s">
        <v>128</v>
      </c>
      <c r="Z4" t="s">
        <v>218</v>
      </c>
      <c r="AA4" t="s">
        <v>149</v>
      </c>
    </row>
    <row r="5" spans="1:27">
      <c r="A5" t="s">
        <v>1307</v>
      </c>
      <c r="B5" s="1">
        <v>41477</v>
      </c>
      <c r="C5" t="s">
        <v>111</v>
      </c>
      <c r="D5" t="s">
        <v>112</v>
      </c>
      <c r="E5" t="s">
        <v>113</v>
      </c>
      <c r="F5" t="s">
        <v>114</v>
      </c>
      <c r="G5" t="s">
        <v>115</v>
      </c>
      <c r="I5" t="s">
        <v>1308</v>
      </c>
      <c r="J5" t="s">
        <v>118</v>
      </c>
      <c r="K5" t="s">
        <v>119</v>
      </c>
      <c r="L5" t="s">
        <v>120</v>
      </c>
      <c r="M5" t="s">
        <v>121</v>
      </c>
      <c r="N5" t="s">
        <v>199</v>
      </c>
      <c r="O5" t="s">
        <v>10</v>
      </c>
      <c r="P5" t="s">
        <v>53</v>
      </c>
      <c r="Q5" t="s">
        <v>246</v>
      </c>
      <c r="S5" t="s">
        <v>143</v>
      </c>
      <c r="T5" t="s">
        <v>1309</v>
      </c>
      <c r="W5" t="s">
        <v>1310</v>
      </c>
      <c r="X5" t="s">
        <v>1311</v>
      </c>
      <c r="Z5" t="s">
        <v>156</v>
      </c>
      <c r="AA5" t="s">
        <v>138</v>
      </c>
    </row>
    <row r="6" spans="1:27">
      <c r="A6" t="s">
        <v>1312</v>
      </c>
      <c r="B6" s="1">
        <v>41477</v>
      </c>
      <c r="C6" t="s">
        <v>111</v>
      </c>
      <c r="D6" t="s">
        <v>112</v>
      </c>
      <c r="E6" t="s">
        <v>113</v>
      </c>
      <c r="F6" t="s">
        <v>114</v>
      </c>
      <c r="G6" t="s">
        <v>115</v>
      </c>
      <c r="I6" t="s">
        <v>1313</v>
      </c>
      <c r="J6" t="s">
        <v>118</v>
      </c>
      <c r="K6" t="s">
        <v>605</v>
      </c>
      <c r="L6" t="s">
        <v>120</v>
      </c>
      <c r="M6" t="s">
        <v>121</v>
      </c>
      <c r="N6" t="s">
        <v>199</v>
      </c>
      <c r="O6" t="s">
        <v>3</v>
      </c>
      <c r="P6" t="s">
        <v>52</v>
      </c>
      <c r="Q6" t="s">
        <v>606</v>
      </c>
      <c r="S6" t="s">
        <v>264</v>
      </c>
      <c r="T6" t="s">
        <v>290</v>
      </c>
      <c r="W6" t="s">
        <v>1314</v>
      </c>
      <c r="X6" t="s">
        <v>1093</v>
      </c>
      <c r="Z6" t="s">
        <v>148</v>
      </c>
      <c r="AA6" t="s">
        <v>268</v>
      </c>
    </row>
    <row r="7" spans="1:27">
      <c r="A7" t="s">
        <v>1315</v>
      </c>
      <c r="B7" s="1">
        <v>41477</v>
      </c>
      <c r="C7" t="s">
        <v>111</v>
      </c>
      <c r="D7" t="s">
        <v>112</v>
      </c>
      <c r="E7" t="s">
        <v>113</v>
      </c>
      <c r="F7" t="s">
        <v>114</v>
      </c>
      <c r="G7" t="s">
        <v>115</v>
      </c>
      <c r="I7" t="s">
        <v>1316</v>
      </c>
      <c r="J7" t="s">
        <v>118</v>
      </c>
      <c r="K7" t="s">
        <v>119</v>
      </c>
      <c r="L7" t="s">
        <v>120</v>
      </c>
      <c r="M7" t="s">
        <v>121</v>
      </c>
      <c r="N7" t="s">
        <v>199</v>
      </c>
      <c r="O7" t="s">
        <v>7</v>
      </c>
      <c r="P7" t="s">
        <v>53</v>
      </c>
      <c r="Q7" t="s">
        <v>1143</v>
      </c>
      <c r="S7" t="s">
        <v>143</v>
      </c>
      <c r="T7" t="s">
        <v>616</v>
      </c>
      <c r="W7" t="s">
        <v>1317</v>
      </c>
      <c r="X7" t="s">
        <v>1318</v>
      </c>
      <c r="Z7" t="s">
        <v>465</v>
      </c>
      <c r="AA7" t="s">
        <v>164</v>
      </c>
    </row>
    <row r="8" spans="1:27">
      <c r="A8" t="s">
        <v>1200</v>
      </c>
      <c r="B8" s="1">
        <v>41477</v>
      </c>
      <c r="C8" t="s">
        <v>111</v>
      </c>
      <c r="D8" t="s">
        <v>112</v>
      </c>
      <c r="E8" t="s">
        <v>113</v>
      </c>
      <c r="F8" t="s">
        <v>114</v>
      </c>
      <c r="G8" t="s">
        <v>115</v>
      </c>
      <c r="I8" t="s">
        <v>1201</v>
      </c>
      <c r="J8" t="s">
        <v>118</v>
      </c>
      <c r="K8" t="s">
        <v>119</v>
      </c>
      <c r="L8" t="s">
        <v>120</v>
      </c>
      <c r="M8" t="s">
        <v>121</v>
      </c>
      <c r="N8" t="s">
        <v>199</v>
      </c>
      <c r="O8" t="s">
        <v>7</v>
      </c>
      <c r="P8" t="s">
        <v>52</v>
      </c>
      <c r="Q8" t="s">
        <v>1202</v>
      </c>
      <c r="S8" t="s">
        <v>125</v>
      </c>
      <c r="T8" t="s">
        <v>1203</v>
      </c>
      <c r="W8" t="s">
        <v>1319</v>
      </c>
      <c r="X8" t="s">
        <v>1199</v>
      </c>
      <c r="Z8" t="s">
        <v>281</v>
      </c>
      <c r="AA8" t="s">
        <v>138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>
  <dimension ref="A1:AA5"/>
  <sheetViews>
    <sheetView workbookViewId="0">
      <selection sqref="A1:XFD1048576"/>
    </sheetView>
  </sheetViews>
  <sheetFormatPr defaultRowHeight="15"/>
  <cols>
    <col min="2" max="2" width="9.570312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1312</v>
      </c>
      <c r="B2" s="1">
        <v>41477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I2" t="s">
        <v>1313</v>
      </c>
      <c r="J2" t="s">
        <v>118</v>
      </c>
      <c r="K2" t="s">
        <v>605</v>
      </c>
      <c r="L2" t="s">
        <v>120</v>
      </c>
      <c r="M2" t="s">
        <v>121</v>
      </c>
      <c r="N2" t="s">
        <v>199</v>
      </c>
      <c r="O2" t="s">
        <v>3</v>
      </c>
      <c r="P2" t="s">
        <v>52</v>
      </c>
      <c r="Q2" t="s">
        <v>606</v>
      </c>
      <c r="S2" t="s">
        <v>264</v>
      </c>
      <c r="T2" t="s">
        <v>290</v>
      </c>
      <c r="W2" t="s">
        <v>1314</v>
      </c>
      <c r="X2" t="s">
        <v>1093</v>
      </c>
      <c r="Z2" t="s">
        <v>148</v>
      </c>
      <c r="AA2" t="s">
        <v>268</v>
      </c>
    </row>
    <row r="3" spans="1:27">
      <c r="A3" t="s">
        <v>1315</v>
      </c>
      <c r="B3" s="1">
        <v>41477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I3" t="s">
        <v>1316</v>
      </c>
      <c r="J3" t="s">
        <v>118</v>
      </c>
      <c r="K3" t="s">
        <v>119</v>
      </c>
      <c r="L3" t="s">
        <v>120</v>
      </c>
      <c r="M3" t="s">
        <v>121</v>
      </c>
      <c r="N3" t="s">
        <v>199</v>
      </c>
      <c r="O3" t="s">
        <v>7</v>
      </c>
      <c r="P3" t="s">
        <v>53</v>
      </c>
      <c r="Q3" t="s">
        <v>1143</v>
      </c>
      <c r="S3" t="s">
        <v>143</v>
      </c>
      <c r="T3" t="s">
        <v>616</v>
      </c>
      <c r="W3" t="s">
        <v>1317</v>
      </c>
      <c r="X3" t="s">
        <v>1318</v>
      </c>
      <c r="Z3" t="s">
        <v>465</v>
      </c>
      <c r="AA3" t="s">
        <v>164</v>
      </c>
    </row>
    <row r="4" spans="1:27">
      <c r="A4" t="s">
        <v>1200</v>
      </c>
      <c r="B4" s="1">
        <v>41477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I4" t="s">
        <v>1201</v>
      </c>
      <c r="J4" t="s">
        <v>118</v>
      </c>
      <c r="K4" t="s">
        <v>119</v>
      </c>
      <c r="L4" t="s">
        <v>120</v>
      </c>
      <c r="M4" t="s">
        <v>121</v>
      </c>
      <c r="N4" t="s">
        <v>199</v>
      </c>
      <c r="O4" t="s">
        <v>7</v>
      </c>
      <c r="P4" t="s">
        <v>52</v>
      </c>
      <c r="Q4" t="s">
        <v>1202</v>
      </c>
      <c r="S4" t="s">
        <v>125</v>
      </c>
      <c r="T4" t="s">
        <v>1203</v>
      </c>
      <c r="W4" t="s">
        <v>1319</v>
      </c>
      <c r="X4" t="s">
        <v>1199</v>
      </c>
      <c r="Z4" t="s">
        <v>281</v>
      </c>
      <c r="AA4" t="s">
        <v>138</v>
      </c>
    </row>
    <row r="5" spans="1:27">
      <c r="A5" t="s">
        <v>1307</v>
      </c>
      <c r="B5" s="1">
        <v>41477</v>
      </c>
      <c r="C5" t="s">
        <v>111</v>
      </c>
      <c r="D5" t="s">
        <v>112</v>
      </c>
      <c r="E5" t="s">
        <v>113</v>
      </c>
      <c r="F5" t="s">
        <v>114</v>
      </c>
      <c r="G5" t="s">
        <v>115</v>
      </c>
      <c r="I5" t="s">
        <v>1308</v>
      </c>
      <c r="J5" t="s">
        <v>118</v>
      </c>
      <c r="K5" t="s">
        <v>119</v>
      </c>
      <c r="L5" t="s">
        <v>120</v>
      </c>
      <c r="M5" t="s">
        <v>121</v>
      </c>
      <c r="N5" t="s">
        <v>199</v>
      </c>
      <c r="O5" t="s">
        <v>10</v>
      </c>
      <c r="P5" t="s">
        <v>53</v>
      </c>
      <c r="Q5" t="s">
        <v>246</v>
      </c>
      <c r="S5" t="s">
        <v>143</v>
      </c>
      <c r="T5" t="s">
        <v>1309</v>
      </c>
      <c r="W5" t="s">
        <v>1310</v>
      </c>
      <c r="X5" t="s">
        <v>1311</v>
      </c>
      <c r="Z5" t="s">
        <v>156</v>
      </c>
      <c r="AA5" t="s">
        <v>138</v>
      </c>
    </row>
  </sheetData>
  <pageMargins left="0.511811024" right="0.511811024" top="0.78740157499999996" bottom="0.78740157499999996" header="0.31496062000000002" footer="0.3149606200000000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AA17"/>
  <sheetViews>
    <sheetView workbookViewId="0">
      <selection activeCell="I2" sqref="I2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1320</v>
      </c>
      <c r="B2" s="1">
        <v>41478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H2" t="s">
        <v>116</v>
      </c>
      <c r="I2" t="s">
        <v>1321</v>
      </c>
      <c r="J2" t="s">
        <v>118</v>
      </c>
      <c r="K2" t="s">
        <v>119</v>
      </c>
      <c r="L2" t="s">
        <v>120</v>
      </c>
      <c r="M2" t="s">
        <v>121</v>
      </c>
      <c r="N2" t="s">
        <v>122</v>
      </c>
      <c r="P2" t="s">
        <v>53</v>
      </c>
      <c r="Q2" t="s">
        <v>982</v>
      </c>
      <c r="R2" t="s">
        <v>135</v>
      </c>
      <c r="S2" t="s">
        <v>168</v>
      </c>
      <c r="T2" t="s">
        <v>169</v>
      </c>
      <c r="U2" t="s">
        <v>127</v>
      </c>
      <c r="V2" t="s">
        <v>128</v>
      </c>
      <c r="W2" t="s">
        <v>371</v>
      </c>
      <c r="X2" t="s">
        <v>1322</v>
      </c>
      <c r="Y2" t="s">
        <v>128</v>
      </c>
      <c r="Z2" t="s">
        <v>152</v>
      </c>
      <c r="AA2" t="s">
        <v>226</v>
      </c>
    </row>
    <row r="3" spans="1:27">
      <c r="A3" t="s">
        <v>1323</v>
      </c>
      <c r="B3" s="1">
        <v>41478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H3" t="s">
        <v>116</v>
      </c>
      <c r="I3" t="s">
        <v>1278</v>
      </c>
      <c r="J3" t="s">
        <v>118</v>
      </c>
      <c r="K3" t="s">
        <v>119</v>
      </c>
      <c r="L3" t="s">
        <v>120</v>
      </c>
      <c r="M3" t="s">
        <v>121</v>
      </c>
      <c r="N3" t="s">
        <v>122</v>
      </c>
      <c r="P3" t="s">
        <v>52</v>
      </c>
      <c r="Q3" t="s">
        <v>123</v>
      </c>
      <c r="R3" t="s">
        <v>135</v>
      </c>
      <c r="S3" t="s">
        <v>168</v>
      </c>
      <c r="T3" t="s">
        <v>169</v>
      </c>
      <c r="U3" t="s">
        <v>127</v>
      </c>
      <c r="V3" t="s">
        <v>161</v>
      </c>
      <c r="W3" t="s">
        <v>171</v>
      </c>
      <c r="X3" t="s">
        <v>1270</v>
      </c>
      <c r="Y3" t="s">
        <v>161</v>
      </c>
      <c r="Z3" t="s">
        <v>152</v>
      </c>
      <c r="AA3" t="s">
        <v>174</v>
      </c>
    </row>
    <row r="4" spans="1:27">
      <c r="A4" t="s">
        <v>1324</v>
      </c>
      <c r="B4" s="1">
        <v>41478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H4" t="s">
        <v>116</v>
      </c>
      <c r="I4" t="s">
        <v>1325</v>
      </c>
      <c r="J4" t="s">
        <v>118</v>
      </c>
      <c r="K4" t="s">
        <v>119</v>
      </c>
      <c r="L4" t="s">
        <v>120</v>
      </c>
      <c r="M4" t="s">
        <v>121</v>
      </c>
      <c r="N4" t="s">
        <v>122</v>
      </c>
      <c r="P4" t="s">
        <v>53</v>
      </c>
      <c r="Q4" t="s">
        <v>309</v>
      </c>
      <c r="R4" t="s">
        <v>135</v>
      </c>
      <c r="S4" t="s">
        <v>168</v>
      </c>
      <c r="T4" t="s">
        <v>126</v>
      </c>
      <c r="U4" t="s">
        <v>286</v>
      </c>
      <c r="V4" t="s">
        <v>128</v>
      </c>
      <c r="W4" t="s">
        <v>223</v>
      </c>
      <c r="X4" t="s">
        <v>1322</v>
      </c>
      <c r="Y4" t="s">
        <v>128</v>
      </c>
      <c r="Z4" t="s">
        <v>589</v>
      </c>
      <c r="AA4" t="s">
        <v>226</v>
      </c>
    </row>
    <row r="5" spans="1:27">
      <c r="A5" t="s">
        <v>1326</v>
      </c>
      <c r="B5" s="1">
        <v>41478</v>
      </c>
      <c r="C5" t="s">
        <v>111</v>
      </c>
      <c r="D5" t="s">
        <v>112</v>
      </c>
      <c r="E5" t="s">
        <v>113</v>
      </c>
      <c r="F5" t="s">
        <v>114</v>
      </c>
      <c r="G5" t="s">
        <v>115</v>
      </c>
      <c r="H5" t="s">
        <v>116</v>
      </c>
      <c r="I5" t="s">
        <v>1327</v>
      </c>
      <c r="J5" t="s">
        <v>118</v>
      </c>
      <c r="K5" t="s">
        <v>119</v>
      </c>
      <c r="L5" t="s">
        <v>120</v>
      </c>
      <c r="M5" t="s">
        <v>121</v>
      </c>
      <c r="N5" t="s">
        <v>122</v>
      </c>
      <c r="P5" t="s">
        <v>52</v>
      </c>
      <c r="Q5" t="s">
        <v>1328</v>
      </c>
      <c r="R5" t="s">
        <v>135</v>
      </c>
      <c r="S5" t="s">
        <v>143</v>
      </c>
      <c r="T5" t="s">
        <v>272</v>
      </c>
      <c r="U5" t="s">
        <v>127</v>
      </c>
      <c r="V5" t="s">
        <v>128</v>
      </c>
      <c r="W5" t="s">
        <v>1329</v>
      </c>
      <c r="X5" t="s">
        <v>1322</v>
      </c>
      <c r="Y5" t="s">
        <v>128</v>
      </c>
      <c r="Z5" t="s">
        <v>148</v>
      </c>
      <c r="AA5" t="s">
        <v>138</v>
      </c>
    </row>
    <row r="6" spans="1:27">
      <c r="A6" t="s">
        <v>1330</v>
      </c>
      <c r="B6" s="1">
        <v>41478</v>
      </c>
      <c r="C6" t="s">
        <v>111</v>
      </c>
      <c r="D6" t="s">
        <v>112</v>
      </c>
      <c r="E6" t="s">
        <v>113</v>
      </c>
      <c r="F6" t="s">
        <v>114</v>
      </c>
      <c r="G6" t="s">
        <v>115</v>
      </c>
      <c r="H6" t="s">
        <v>116</v>
      </c>
      <c r="I6" t="s">
        <v>1331</v>
      </c>
      <c r="J6" t="s">
        <v>118</v>
      </c>
      <c r="K6" t="s">
        <v>119</v>
      </c>
      <c r="L6" t="s">
        <v>120</v>
      </c>
      <c r="M6" t="s">
        <v>121</v>
      </c>
      <c r="N6" t="s">
        <v>122</v>
      </c>
      <c r="P6" t="s">
        <v>53</v>
      </c>
      <c r="Q6" t="s">
        <v>246</v>
      </c>
      <c r="R6" t="s">
        <v>1332</v>
      </c>
      <c r="S6" t="s">
        <v>143</v>
      </c>
      <c r="T6" t="s">
        <v>296</v>
      </c>
      <c r="U6" t="s">
        <v>127</v>
      </c>
      <c r="V6" t="s">
        <v>128</v>
      </c>
      <c r="W6" t="s">
        <v>1333</v>
      </c>
      <c r="X6" t="s">
        <v>1322</v>
      </c>
      <c r="Y6" t="s">
        <v>128</v>
      </c>
      <c r="Z6" t="s">
        <v>1128</v>
      </c>
      <c r="AA6" t="s">
        <v>164</v>
      </c>
    </row>
    <row r="7" spans="1:27">
      <c r="A7" t="s">
        <v>1334</v>
      </c>
      <c r="B7" s="1">
        <v>41478</v>
      </c>
      <c r="C7" t="s">
        <v>111</v>
      </c>
      <c r="D7" t="s">
        <v>112</v>
      </c>
      <c r="E7" t="s">
        <v>113</v>
      </c>
      <c r="F7" t="s">
        <v>114</v>
      </c>
      <c r="G7" t="s">
        <v>115</v>
      </c>
      <c r="H7" t="s">
        <v>176</v>
      </c>
      <c r="I7" t="s">
        <v>1335</v>
      </c>
      <c r="J7" t="s">
        <v>118</v>
      </c>
      <c r="K7" t="s">
        <v>119</v>
      </c>
      <c r="L7" t="s">
        <v>120</v>
      </c>
      <c r="M7" t="s">
        <v>121</v>
      </c>
      <c r="N7" t="s">
        <v>122</v>
      </c>
      <c r="P7" t="s">
        <v>52</v>
      </c>
      <c r="Q7" t="s">
        <v>123</v>
      </c>
      <c r="R7" t="s">
        <v>1336</v>
      </c>
      <c r="S7" t="s">
        <v>168</v>
      </c>
      <c r="T7" t="s">
        <v>1113</v>
      </c>
      <c r="U7" t="s">
        <v>127</v>
      </c>
      <c r="V7" t="s">
        <v>128</v>
      </c>
      <c r="W7" t="s">
        <v>429</v>
      </c>
      <c r="X7" t="s">
        <v>1322</v>
      </c>
      <c r="Y7" t="s">
        <v>128</v>
      </c>
      <c r="Z7" t="s">
        <v>152</v>
      </c>
      <c r="AA7" t="s">
        <v>327</v>
      </c>
    </row>
    <row r="8" spans="1:27">
      <c r="A8" t="s">
        <v>1337</v>
      </c>
      <c r="B8" s="1">
        <v>41478</v>
      </c>
      <c r="C8" t="s">
        <v>111</v>
      </c>
      <c r="D8" t="s">
        <v>112</v>
      </c>
      <c r="E8" t="s">
        <v>113</v>
      </c>
      <c r="F8" t="s">
        <v>114</v>
      </c>
      <c r="G8" t="s">
        <v>115</v>
      </c>
      <c r="H8" t="s">
        <v>116</v>
      </c>
      <c r="I8" t="s">
        <v>1180</v>
      </c>
      <c r="J8" t="s">
        <v>118</v>
      </c>
      <c r="K8" t="s">
        <v>119</v>
      </c>
      <c r="L8" t="s">
        <v>120</v>
      </c>
      <c r="M8" t="s">
        <v>121</v>
      </c>
      <c r="N8" t="s">
        <v>122</v>
      </c>
      <c r="P8" t="s">
        <v>53</v>
      </c>
      <c r="Q8" t="s">
        <v>411</v>
      </c>
      <c r="R8" t="s">
        <v>135</v>
      </c>
      <c r="S8" t="s">
        <v>143</v>
      </c>
      <c r="T8" t="s">
        <v>272</v>
      </c>
      <c r="U8" t="s">
        <v>127</v>
      </c>
      <c r="V8" t="s">
        <v>128</v>
      </c>
      <c r="W8" t="s">
        <v>1338</v>
      </c>
      <c r="X8" t="s">
        <v>1322</v>
      </c>
      <c r="Y8" t="s">
        <v>128</v>
      </c>
      <c r="Z8" t="s">
        <v>1182</v>
      </c>
      <c r="AA8" t="s">
        <v>164</v>
      </c>
    </row>
    <row r="9" spans="1:27">
      <c r="A9" t="s">
        <v>1339</v>
      </c>
      <c r="B9" s="1">
        <v>41478</v>
      </c>
      <c r="C9" t="s">
        <v>111</v>
      </c>
      <c r="D9" t="s">
        <v>112</v>
      </c>
      <c r="E9" t="s">
        <v>113</v>
      </c>
      <c r="F9" t="s">
        <v>114</v>
      </c>
      <c r="G9" t="s">
        <v>115</v>
      </c>
      <c r="H9" t="s">
        <v>116</v>
      </c>
      <c r="I9" t="s">
        <v>1340</v>
      </c>
      <c r="J9" t="s">
        <v>118</v>
      </c>
      <c r="K9" t="s">
        <v>119</v>
      </c>
      <c r="L9" t="s">
        <v>120</v>
      </c>
      <c r="M9" t="s">
        <v>121</v>
      </c>
      <c r="N9" t="s">
        <v>122</v>
      </c>
      <c r="P9" t="s">
        <v>53</v>
      </c>
      <c r="Q9" t="s">
        <v>246</v>
      </c>
      <c r="R9" t="s">
        <v>1341</v>
      </c>
      <c r="S9" t="s">
        <v>143</v>
      </c>
      <c r="T9" t="s">
        <v>616</v>
      </c>
      <c r="U9" t="s">
        <v>145</v>
      </c>
      <c r="V9" t="s">
        <v>128</v>
      </c>
      <c r="W9" t="s">
        <v>1342</v>
      </c>
      <c r="X9" t="s">
        <v>1311</v>
      </c>
      <c r="Y9" t="s">
        <v>128</v>
      </c>
      <c r="Z9" t="s">
        <v>152</v>
      </c>
      <c r="AA9" t="s">
        <v>164</v>
      </c>
    </row>
    <row r="10" spans="1:27">
      <c r="A10" t="s">
        <v>1315</v>
      </c>
      <c r="B10" s="1">
        <v>41478</v>
      </c>
      <c r="C10" t="s">
        <v>111</v>
      </c>
      <c r="D10" t="s">
        <v>112</v>
      </c>
      <c r="E10" t="s">
        <v>113</v>
      </c>
      <c r="F10" t="s">
        <v>114</v>
      </c>
      <c r="G10" t="s">
        <v>115</v>
      </c>
      <c r="I10" t="s">
        <v>1316</v>
      </c>
      <c r="J10" t="s">
        <v>118</v>
      </c>
      <c r="K10" t="s">
        <v>119</v>
      </c>
      <c r="L10" t="s">
        <v>120</v>
      </c>
      <c r="M10" t="s">
        <v>121</v>
      </c>
      <c r="N10" t="s">
        <v>419</v>
      </c>
      <c r="P10" t="s">
        <v>53</v>
      </c>
      <c r="Q10" t="s">
        <v>1143</v>
      </c>
      <c r="S10" t="s">
        <v>143</v>
      </c>
      <c r="T10" t="s">
        <v>616</v>
      </c>
      <c r="W10" t="s">
        <v>1343</v>
      </c>
      <c r="X10" t="s">
        <v>1318</v>
      </c>
      <c r="Z10" t="s">
        <v>465</v>
      </c>
      <c r="AA10" t="s">
        <v>164</v>
      </c>
    </row>
    <row r="11" spans="1:27">
      <c r="A11" t="s">
        <v>1344</v>
      </c>
      <c r="B11" s="1">
        <v>41478</v>
      </c>
      <c r="C11" t="s">
        <v>111</v>
      </c>
      <c r="D11" t="s">
        <v>112</v>
      </c>
      <c r="E11" t="s">
        <v>113</v>
      </c>
      <c r="F11" t="s">
        <v>114</v>
      </c>
      <c r="G11" t="s">
        <v>115</v>
      </c>
      <c r="I11" t="s">
        <v>1345</v>
      </c>
      <c r="J11" t="s">
        <v>118</v>
      </c>
      <c r="K11" t="s">
        <v>119</v>
      </c>
      <c r="L11" t="s">
        <v>120</v>
      </c>
      <c r="M11" t="s">
        <v>121</v>
      </c>
      <c r="N11" t="s">
        <v>199</v>
      </c>
      <c r="O11" t="s">
        <v>10</v>
      </c>
      <c r="P11" t="s">
        <v>52</v>
      </c>
      <c r="Q11" t="s">
        <v>123</v>
      </c>
      <c r="S11" t="s">
        <v>168</v>
      </c>
      <c r="T11" t="s">
        <v>1113</v>
      </c>
      <c r="W11" t="s">
        <v>429</v>
      </c>
      <c r="X11" t="s">
        <v>1322</v>
      </c>
      <c r="Z11" t="s">
        <v>281</v>
      </c>
      <c r="AA11" t="s">
        <v>327</v>
      </c>
    </row>
    <row r="12" spans="1:27">
      <c r="A12" t="s">
        <v>1346</v>
      </c>
      <c r="B12" s="1">
        <v>41478</v>
      </c>
      <c r="C12" t="s">
        <v>111</v>
      </c>
      <c r="D12" t="s">
        <v>112</v>
      </c>
      <c r="E12" t="s">
        <v>113</v>
      </c>
      <c r="F12" t="s">
        <v>114</v>
      </c>
      <c r="G12" t="s">
        <v>115</v>
      </c>
      <c r="I12" t="s">
        <v>1347</v>
      </c>
      <c r="J12" t="s">
        <v>118</v>
      </c>
      <c r="K12" t="s">
        <v>119</v>
      </c>
      <c r="L12" t="s">
        <v>120</v>
      </c>
      <c r="M12" t="s">
        <v>121</v>
      </c>
      <c r="N12" t="s">
        <v>199</v>
      </c>
      <c r="O12" t="s">
        <v>3</v>
      </c>
      <c r="P12" t="s">
        <v>52</v>
      </c>
      <c r="Q12" t="s">
        <v>123</v>
      </c>
      <c r="S12" t="s">
        <v>168</v>
      </c>
      <c r="T12" t="s">
        <v>1113</v>
      </c>
      <c r="W12" t="s">
        <v>1114</v>
      </c>
      <c r="X12" t="s">
        <v>1322</v>
      </c>
      <c r="Z12" t="s">
        <v>281</v>
      </c>
      <c r="AA12" t="s">
        <v>655</v>
      </c>
    </row>
    <row r="13" spans="1:27">
      <c r="A13" t="s">
        <v>1348</v>
      </c>
      <c r="B13" s="1">
        <v>41478</v>
      </c>
      <c r="C13" t="s">
        <v>111</v>
      </c>
      <c r="D13" t="s">
        <v>112</v>
      </c>
      <c r="E13" t="s">
        <v>113</v>
      </c>
      <c r="F13" t="s">
        <v>114</v>
      </c>
      <c r="G13" t="s">
        <v>115</v>
      </c>
      <c r="I13" t="s">
        <v>1349</v>
      </c>
      <c r="J13" t="s">
        <v>118</v>
      </c>
      <c r="K13" t="s">
        <v>119</v>
      </c>
      <c r="L13" t="s">
        <v>120</v>
      </c>
      <c r="M13" t="s">
        <v>121</v>
      </c>
      <c r="N13" t="s">
        <v>199</v>
      </c>
      <c r="O13" t="s">
        <v>10</v>
      </c>
      <c r="P13" t="s">
        <v>52</v>
      </c>
      <c r="Q13" t="s">
        <v>123</v>
      </c>
      <c r="S13" t="s">
        <v>168</v>
      </c>
      <c r="T13" t="s">
        <v>1113</v>
      </c>
      <c r="W13" t="s">
        <v>1114</v>
      </c>
      <c r="X13" t="s">
        <v>1322</v>
      </c>
      <c r="Z13" t="s">
        <v>350</v>
      </c>
      <c r="AA13" t="s">
        <v>655</v>
      </c>
    </row>
    <row r="14" spans="1:27">
      <c r="A14" t="s">
        <v>1350</v>
      </c>
      <c r="B14" s="1">
        <v>41478</v>
      </c>
      <c r="C14" t="s">
        <v>111</v>
      </c>
      <c r="D14" t="s">
        <v>112</v>
      </c>
      <c r="E14" t="s">
        <v>113</v>
      </c>
      <c r="F14" t="s">
        <v>114</v>
      </c>
      <c r="G14" t="s">
        <v>115</v>
      </c>
      <c r="I14" t="s">
        <v>1107</v>
      </c>
      <c r="J14" t="s">
        <v>118</v>
      </c>
      <c r="K14" t="s">
        <v>119</v>
      </c>
      <c r="L14" t="s">
        <v>120</v>
      </c>
      <c r="M14" t="s">
        <v>121</v>
      </c>
      <c r="N14" t="s">
        <v>199</v>
      </c>
      <c r="O14" t="s">
        <v>6</v>
      </c>
      <c r="P14" t="s">
        <v>52</v>
      </c>
      <c r="Q14" t="s">
        <v>123</v>
      </c>
      <c r="S14" t="s">
        <v>168</v>
      </c>
      <c r="T14" t="s">
        <v>1113</v>
      </c>
      <c r="W14" t="s">
        <v>1114</v>
      </c>
      <c r="X14" t="s">
        <v>1322</v>
      </c>
      <c r="Z14" t="s">
        <v>1110</v>
      </c>
      <c r="AA14" t="s">
        <v>655</v>
      </c>
    </row>
    <row r="15" spans="1:27">
      <c r="A15" t="s">
        <v>1351</v>
      </c>
      <c r="B15" s="1">
        <v>41478</v>
      </c>
      <c r="C15" t="s">
        <v>111</v>
      </c>
      <c r="D15" t="s">
        <v>112</v>
      </c>
      <c r="E15" t="s">
        <v>113</v>
      </c>
      <c r="F15" t="s">
        <v>114</v>
      </c>
      <c r="G15" t="s">
        <v>115</v>
      </c>
      <c r="I15" t="s">
        <v>1352</v>
      </c>
      <c r="J15" t="s">
        <v>118</v>
      </c>
      <c r="K15" t="s">
        <v>119</v>
      </c>
      <c r="L15" t="s">
        <v>120</v>
      </c>
      <c r="M15" t="s">
        <v>121</v>
      </c>
      <c r="N15" t="s">
        <v>199</v>
      </c>
      <c r="O15" t="s">
        <v>6</v>
      </c>
      <c r="P15" t="s">
        <v>52</v>
      </c>
      <c r="Q15" t="s">
        <v>123</v>
      </c>
      <c r="S15" t="s">
        <v>168</v>
      </c>
      <c r="T15" t="s">
        <v>1113</v>
      </c>
      <c r="W15" t="s">
        <v>429</v>
      </c>
      <c r="X15" t="s">
        <v>1322</v>
      </c>
      <c r="Z15" t="s">
        <v>281</v>
      </c>
      <c r="AA15" t="s">
        <v>327</v>
      </c>
    </row>
    <row r="16" spans="1:27">
      <c r="A16" t="s">
        <v>1353</v>
      </c>
      <c r="B16" s="1">
        <v>41478</v>
      </c>
      <c r="C16" t="s">
        <v>111</v>
      </c>
      <c r="D16" t="s">
        <v>112</v>
      </c>
      <c r="E16" t="s">
        <v>113</v>
      </c>
      <c r="F16" t="s">
        <v>114</v>
      </c>
      <c r="G16" t="s">
        <v>115</v>
      </c>
      <c r="I16" t="s">
        <v>1354</v>
      </c>
      <c r="J16" t="s">
        <v>118</v>
      </c>
      <c r="K16" t="s">
        <v>119</v>
      </c>
      <c r="L16" t="s">
        <v>120</v>
      </c>
      <c r="M16" t="s">
        <v>121</v>
      </c>
      <c r="N16" t="s">
        <v>199</v>
      </c>
      <c r="O16" t="s">
        <v>4</v>
      </c>
      <c r="P16" t="s">
        <v>52</v>
      </c>
      <c r="Q16" t="s">
        <v>123</v>
      </c>
      <c r="S16" t="s">
        <v>168</v>
      </c>
      <c r="T16" t="s">
        <v>1113</v>
      </c>
      <c r="W16" t="s">
        <v>429</v>
      </c>
      <c r="X16" t="s">
        <v>1322</v>
      </c>
      <c r="Z16" t="s">
        <v>131</v>
      </c>
      <c r="AA16" t="s">
        <v>327</v>
      </c>
    </row>
    <row r="17" spans="1:27">
      <c r="A17" t="s">
        <v>1355</v>
      </c>
      <c r="B17" s="1">
        <v>41478</v>
      </c>
      <c r="C17" t="s">
        <v>111</v>
      </c>
      <c r="D17" t="s">
        <v>112</v>
      </c>
      <c r="E17" t="s">
        <v>113</v>
      </c>
      <c r="F17" t="s">
        <v>114</v>
      </c>
      <c r="G17" t="s">
        <v>115</v>
      </c>
      <c r="I17" t="s">
        <v>1356</v>
      </c>
      <c r="J17" t="s">
        <v>118</v>
      </c>
      <c r="K17" t="s">
        <v>119</v>
      </c>
      <c r="L17" t="s">
        <v>120</v>
      </c>
      <c r="M17" t="s">
        <v>121</v>
      </c>
      <c r="N17" t="s">
        <v>199</v>
      </c>
      <c r="O17" t="s">
        <v>6</v>
      </c>
      <c r="P17" t="s">
        <v>52</v>
      </c>
      <c r="Q17" t="s">
        <v>123</v>
      </c>
      <c r="S17" t="s">
        <v>168</v>
      </c>
      <c r="T17" t="s">
        <v>1113</v>
      </c>
      <c r="W17" t="s">
        <v>1114</v>
      </c>
      <c r="X17" t="s">
        <v>1322</v>
      </c>
      <c r="Z17" t="s">
        <v>218</v>
      </c>
      <c r="AA17" t="s">
        <v>655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6.xml><?xml version="1.0" encoding="utf-8"?>
<worksheet xmlns="http://schemas.openxmlformats.org/spreadsheetml/2006/main" xmlns:r="http://schemas.openxmlformats.org/officeDocument/2006/relationships">
  <dimension ref="A1:AA8"/>
  <sheetViews>
    <sheetView workbookViewId="0">
      <selection activeCell="I2" sqref="I2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1346</v>
      </c>
      <c r="B2" s="1">
        <v>41478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I2" t="s">
        <v>1347</v>
      </c>
      <c r="J2" t="s">
        <v>118</v>
      </c>
      <c r="K2" t="s">
        <v>119</v>
      </c>
      <c r="L2" t="s">
        <v>120</v>
      </c>
      <c r="M2" t="s">
        <v>121</v>
      </c>
      <c r="N2" t="s">
        <v>199</v>
      </c>
      <c r="O2" t="s">
        <v>3</v>
      </c>
      <c r="P2" t="s">
        <v>52</v>
      </c>
      <c r="Q2" t="s">
        <v>123</v>
      </c>
      <c r="S2" t="s">
        <v>168</v>
      </c>
      <c r="T2" t="s">
        <v>1113</v>
      </c>
      <c r="W2" t="s">
        <v>1114</v>
      </c>
      <c r="X2" t="s">
        <v>1322</v>
      </c>
      <c r="Z2" t="s">
        <v>281</v>
      </c>
      <c r="AA2" t="s">
        <v>655</v>
      </c>
    </row>
    <row r="3" spans="1:27">
      <c r="A3" t="s">
        <v>1353</v>
      </c>
      <c r="B3" s="1">
        <v>41478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I3" t="s">
        <v>1354</v>
      </c>
      <c r="J3" t="s">
        <v>118</v>
      </c>
      <c r="K3" t="s">
        <v>119</v>
      </c>
      <c r="L3" t="s">
        <v>120</v>
      </c>
      <c r="M3" t="s">
        <v>121</v>
      </c>
      <c r="N3" t="s">
        <v>199</v>
      </c>
      <c r="O3" t="s">
        <v>4</v>
      </c>
      <c r="P3" t="s">
        <v>52</v>
      </c>
      <c r="Q3" t="s">
        <v>123</v>
      </c>
      <c r="S3" t="s">
        <v>168</v>
      </c>
      <c r="T3" t="s">
        <v>1113</v>
      </c>
      <c r="W3" t="s">
        <v>429</v>
      </c>
      <c r="X3" t="s">
        <v>1322</v>
      </c>
      <c r="Z3" t="s">
        <v>131</v>
      </c>
      <c r="AA3" t="s">
        <v>327</v>
      </c>
    </row>
    <row r="4" spans="1:27">
      <c r="A4" t="s">
        <v>1350</v>
      </c>
      <c r="B4" s="1">
        <v>41478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I4" t="s">
        <v>1107</v>
      </c>
      <c r="J4" t="s">
        <v>118</v>
      </c>
      <c r="K4" t="s">
        <v>119</v>
      </c>
      <c r="L4" t="s">
        <v>120</v>
      </c>
      <c r="M4" t="s">
        <v>121</v>
      </c>
      <c r="N4" t="s">
        <v>199</v>
      </c>
      <c r="O4" t="s">
        <v>6</v>
      </c>
      <c r="P4" t="s">
        <v>52</v>
      </c>
      <c r="Q4" t="s">
        <v>123</v>
      </c>
      <c r="S4" t="s">
        <v>168</v>
      </c>
      <c r="T4" t="s">
        <v>1113</v>
      </c>
      <c r="W4" t="s">
        <v>1114</v>
      </c>
      <c r="X4" t="s">
        <v>1322</v>
      </c>
      <c r="Z4" t="s">
        <v>1110</v>
      </c>
      <c r="AA4" t="s">
        <v>655</v>
      </c>
    </row>
    <row r="5" spans="1:27">
      <c r="A5" t="s">
        <v>1351</v>
      </c>
      <c r="B5" s="1">
        <v>41478</v>
      </c>
      <c r="C5" t="s">
        <v>111</v>
      </c>
      <c r="D5" t="s">
        <v>112</v>
      </c>
      <c r="E5" t="s">
        <v>113</v>
      </c>
      <c r="F5" t="s">
        <v>114</v>
      </c>
      <c r="G5" t="s">
        <v>115</v>
      </c>
      <c r="I5" t="s">
        <v>1352</v>
      </c>
      <c r="J5" t="s">
        <v>118</v>
      </c>
      <c r="K5" t="s">
        <v>119</v>
      </c>
      <c r="L5" t="s">
        <v>120</v>
      </c>
      <c r="M5" t="s">
        <v>121</v>
      </c>
      <c r="N5" t="s">
        <v>199</v>
      </c>
      <c r="O5" t="s">
        <v>6</v>
      </c>
      <c r="P5" t="s">
        <v>52</v>
      </c>
      <c r="Q5" t="s">
        <v>123</v>
      </c>
      <c r="S5" t="s">
        <v>168</v>
      </c>
      <c r="T5" t="s">
        <v>1113</v>
      </c>
      <c r="W5" t="s">
        <v>429</v>
      </c>
      <c r="X5" t="s">
        <v>1322</v>
      </c>
      <c r="Z5" t="s">
        <v>281</v>
      </c>
      <c r="AA5" t="s">
        <v>327</v>
      </c>
    </row>
    <row r="6" spans="1:27">
      <c r="A6" t="s">
        <v>1355</v>
      </c>
      <c r="B6" s="1">
        <v>41478</v>
      </c>
      <c r="C6" t="s">
        <v>111</v>
      </c>
      <c r="D6" t="s">
        <v>112</v>
      </c>
      <c r="E6" t="s">
        <v>113</v>
      </c>
      <c r="F6" t="s">
        <v>114</v>
      </c>
      <c r="G6" t="s">
        <v>115</v>
      </c>
      <c r="I6" t="s">
        <v>1356</v>
      </c>
      <c r="J6" t="s">
        <v>118</v>
      </c>
      <c r="K6" t="s">
        <v>119</v>
      </c>
      <c r="L6" t="s">
        <v>120</v>
      </c>
      <c r="M6" t="s">
        <v>121</v>
      </c>
      <c r="N6" t="s">
        <v>199</v>
      </c>
      <c r="O6" t="s">
        <v>6</v>
      </c>
      <c r="P6" t="s">
        <v>52</v>
      </c>
      <c r="Q6" t="s">
        <v>123</v>
      </c>
      <c r="S6" t="s">
        <v>168</v>
      </c>
      <c r="T6" t="s">
        <v>1113</v>
      </c>
      <c r="W6" t="s">
        <v>1114</v>
      </c>
      <c r="X6" t="s">
        <v>1322</v>
      </c>
      <c r="Z6" t="s">
        <v>218</v>
      </c>
      <c r="AA6" t="s">
        <v>655</v>
      </c>
    </row>
    <row r="7" spans="1:27">
      <c r="A7" t="s">
        <v>1344</v>
      </c>
      <c r="B7" s="1">
        <v>41478</v>
      </c>
      <c r="C7" t="s">
        <v>111</v>
      </c>
      <c r="D7" t="s">
        <v>112</v>
      </c>
      <c r="E7" t="s">
        <v>113</v>
      </c>
      <c r="F7" t="s">
        <v>114</v>
      </c>
      <c r="G7" t="s">
        <v>115</v>
      </c>
      <c r="I7" t="s">
        <v>1345</v>
      </c>
      <c r="J7" t="s">
        <v>118</v>
      </c>
      <c r="K7" t="s">
        <v>119</v>
      </c>
      <c r="L7" t="s">
        <v>120</v>
      </c>
      <c r="M7" t="s">
        <v>121</v>
      </c>
      <c r="N7" t="s">
        <v>199</v>
      </c>
      <c r="O7" t="s">
        <v>10</v>
      </c>
      <c r="P7" t="s">
        <v>52</v>
      </c>
      <c r="Q7" t="s">
        <v>123</v>
      </c>
      <c r="S7" t="s">
        <v>168</v>
      </c>
      <c r="T7" t="s">
        <v>1113</v>
      </c>
      <c r="W7" t="s">
        <v>429</v>
      </c>
      <c r="X7" t="s">
        <v>1322</v>
      </c>
      <c r="Z7" t="s">
        <v>281</v>
      </c>
      <c r="AA7" t="s">
        <v>327</v>
      </c>
    </row>
    <row r="8" spans="1:27">
      <c r="A8" t="s">
        <v>1348</v>
      </c>
      <c r="B8" s="1">
        <v>41478</v>
      </c>
      <c r="C8" t="s">
        <v>111</v>
      </c>
      <c r="D8" t="s">
        <v>112</v>
      </c>
      <c r="E8" t="s">
        <v>113</v>
      </c>
      <c r="F8" t="s">
        <v>114</v>
      </c>
      <c r="G8" t="s">
        <v>115</v>
      </c>
      <c r="I8" t="s">
        <v>1349</v>
      </c>
      <c r="J8" t="s">
        <v>118</v>
      </c>
      <c r="K8" t="s">
        <v>119</v>
      </c>
      <c r="L8" t="s">
        <v>120</v>
      </c>
      <c r="M8" t="s">
        <v>121</v>
      </c>
      <c r="N8" t="s">
        <v>199</v>
      </c>
      <c r="O8" t="s">
        <v>10</v>
      </c>
      <c r="P8" t="s">
        <v>52</v>
      </c>
      <c r="Q8" t="s">
        <v>123</v>
      </c>
      <c r="S8" t="s">
        <v>168</v>
      </c>
      <c r="T8" t="s">
        <v>1113</v>
      </c>
      <c r="W8" t="s">
        <v>1114</v>
      </c>
      <c r="X8" t="s">
        <v>1322</v>
      </c>
      <c r="Z8" t="s">
        <v>350</v>
      </c>
      <c r="AA8" t="s">
        <v>655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7.xml><?xml version="1.0" encoding="utf-8"?>
<worksheet xmlns="http://schemas.openxmlformats.org/spreadsheetml/2006/main" xmlns:r="http://schemas.openxmlformats.org/officeDocument/2006/relationships">
  <dimension ref="A1:AA12"/>
  <sheetViews>
    <sheetView workbookViewId="0">
      <selection activeCell="I2" sqref="I2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1357</v>
      </c>
      <c r="B2" s="1">
        <v>41479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H2" t="s">
        <v>116</v>
      </c>
      <c r="I2" t="s">
        <v>1293</v>
      </c>
      <c r="J2" t="s">
        <v>118</v>
      </c>
      <c r="K2" t="s">
        <v>119</v>
      </c>
      <c r="L2" t="s">
        <v>120</v>
      </c>
      <c r="M2" t="s">
        <v>121</v>
      </c>
      <c r="N2" t="s">
        <v>122</v>
      </c>
      <c r="P2" t="s">
        <v>52</v>
      </c>
      <c r="Q2" t="s">
        <v>123</v>
      </c>
      <c r="R2" t="s">
        <v>135</v>
      </c>
      <c r="S2" t="s">
        <v>168</v>
      </c>
      <c r="T2" t="s">
        <v>1031</v>
      </c>
      <c r="U2" t="s">
        <v>127</v>
      </c>
      <c r="V2" t="s">
        <v>231</v>
      </c>
      <c r="W2" t="s">
        <v>1358</v>
      </c>
      <c r="X2" t="s">
        <v>1287</v>
      </c>
      <c r="Y2" t="s">
        <v>231</v>
      </c>
      <c r="Z2" t="s">
        <v>340</v>
      </c>
      <c r="AA2" t="s">
        <v>268</v>
      </c>
    </row>
    <row r="3" spans="1:27">
      <c r="A3" t="s">
        <v>1359</v>
      </c>
      <c r="B3" s="1">
        <v>41479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H3" t="s">
        <v>116</v>
      </c>
      <c r="I3" t="s">
        <v>1360</v>
      </c>
      <c r="J3" t="s">
        <v>118</v>
      </c>
      <c r="K3" t="s">
        <v>119</v>
      </c>
      <c r="L3" t="s">
        <v>120</v>
      </c>
      <c r="M3" t="s">
        <v>121</v>
      </c>
      <c r="N3" t="s">
        <v>122</v>
      </c>
      <c r="P3" t="s">
        <v>54</v>
      </c>
      <c r="Q3" t="s">
        <v>235</v>
      </c>
      <c r="R3" t="s">
        <v>135</v>
      </c>
      <c r="S3" t="s">
        <v>143</v>
      </c>
      <c r="T3" t="s">
        <v>272</v>
      </c>
      <c r="U3" t="s">
        <v>127</v>
      </c>
      <c r="V3" t="s">
        <v>128</v>
      </c>
      <c r="W3" t="s">
        <v>1361</v>
      </c>
      <c r="X3" t="s">
        <v>1362</v>
      </c>
      <c r="Y3" t="s">
        <v>128</v>
      </c>
      <c r="Z3" t="s">
        <v>218</v>
      </c>
      <c r="AA3" t="s">
        <v>243</v>
      </c>
    </row>
    <row r="4" spans="1:27">
      <c r="A4" t="s">
        <v>1363</v>
      </c>
      <c r="B4" s="1">
        <v>41479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H4" t="s">
        <v>116</v>
      </c>
      <c r="I4" t="s">
        <v>1364</v>
      </c>
      <c r="J4" t="s">
        <v>118</v>
      </c>
      <c r="K4" t="s">
        <v>119</v>
      </c>
      <c r="L4" t="s">
        <v>120</v>
      </c>
      <c r="M4" t="s">
        <v>121</v>
      </c>
      <c r="N4" t="s">
        <v>122</v>
      </c>
      <c r="P4" t="s">
        <v>52</v>
      </c>
      <c r="Q4" t="s">
        <v>123</v>
      </c>
      <c r="R4" t="s">
        <v>135</v>
      </c>
      <c r="S4" t="s">
        <v>168</v>
      </c>
      <c r="T4" t="s">
        <v>1113</v>
      </c>
      <c r="U4" t="s">
        <v>155</v>
      </c>
      <c r="V4" t="s">
        <v>128</v>
      </c>
      <c r="W4" t="s">
        <v>429</v>
      </c>
      <c r="X4" t="s">
        <v>1362</v>
      </c>
      <c r="Y4" t="s">
        <v>128</v>
      </c>
      <c r="Z4" t="s">
        <v>1171</v>
      </c>
      <c r="AA4" t="s">
        <v>327</v>
      </c>
    </row>
    <row r="5" spans="1:27">
      <c r="A5" t="s">
        <v>1365</v>
      </c>
      <c r="B5" s="1">
        <v>41479</v>
      </c>
      <c r="C5" t="s">
        <v>111</v>
      </c>
      <c r="D5" t="s">
        <v>112</v>
      </c>
      <c r="E5" t="s">
        <v>113</v>
      </c>
      <c r="F5" t="s">
        <v>114</v>
      </c>
      <c r="G5" t="s">
        <v>115</v>
      </c>
      <c r="H5" t="s">
        <v>116</v>
      </c>
      <c r="I5" t="s">
        <v>1366</v>
      </c>
      <c r="J5" t="s">
        <v>118</v>
      </c>
      <c r="K5" t="s">
        <v>119</v>
      </c>
      <c r="L5" t="s">
        <v>120</v>
      </c>
      <c r="M5" t="s">
        <v>121</v>
      </c>
      <c r="N5" t="s">
        <v>122</v>
      </c>
      <c r="P5" t="s">
        <v>53</v>
      </c>
      <c r="Q5" t="s">
        <v>1043</v>
      </c>
      <c r="R5" t="s">
        <v>455</v>
      </c>
      <c r="S5" t="s">
        <v>143</v>
      </c>
      <c r="T5" t="s">
        <v>272</v>
      </c>
      <c r="U5" t="s">
        <v>127</v>
      </c>
      <c r="V5" t="s">
        <v>231</v>
      </c>
      <c r="W5" t="s">
        <v>1367</v>
      </c>
      <c r="X5" t="s">
        <v>1362</v>
      </c>
      <c r="Y5" t="s">
        <v>231</v>
      </c>
      <c r="Z5" t="s">
        <v>1368</v>
      </c>
      <c r="AA5" t="s">
        <v>138</v>
      </c>
    </row>
    <row r="6" spans="1:27">
      <c r="A6" t="s">
        <v>1369</v>
      </c>
      <c r="B6" s="1">
        <v>41479</v>
      </c>
      <c r="C6" t="s">
        <v>111</v>
      </c>
      <c r="D6" t="s">
        <v>112</v>
      </c>
      <c r="E6" t="s">
        <v>113</v>
      </c>
      <c r="F6" t="s">
        <v>114</v>
      </c>
      <c r="G6" t="s">
        <v>115</v>
      </c>
      <c r="H6" t="s">
        <v>116</v>
      </c>
      <c r="I6" t="s">
        <v>1370</v>
      </c>
      <c r="J6" t="s">
        <v>118</v>
      </c>
      <c r="K6" t="s">
        <v>119</v>
      </c>
      <c r="L6" t="s">
        <v>120</v>
      </c>
      <c r="M6" t="s">
        <v>121</v>
      </c>
      <c r="N6" t="s">
        <v>122</v>
      </c>
      <c r="P6" t="s">
        <v>54</v>
      </c>
      <c r="Q6" t="s">
        <v>235</v>
      </c>
      <c r="R6" t="s">
        <v>1103</v>
      </c>
      <c r="S6" t="s">
        <v>168</v>
      </c>
      <c r="T6" t="s">
        <v>169</v>
      </c>
      <c r="U6" t="s">
        <v>127</v>
      </c>
      <c r="V6" t="s">
        <v>128</v>
      </c>
      <c r="W6" t="s">
        <v>371</v>
      </c>
      <c r="X6" t="s">
        <v>1322</v>
      </c>
      <c r="Y6" t="s">
        <v>128</v>
      </c>
      <c r="Z6" t="s">
        <v>137</v>
      </c>
      <c r="AA6" t="s">
        <v>226</v>
      </c>
    </row>
    <row r="7" spans="1:27">
      <c r="A7" t="s">
        <v>1371</v>
      </c>
      <c r="B7" s="1">
        <v>41479</v>
      </c>
      <c r="C7" t="s">
        <v>111</v>
      </c>
      <c r="D7" t="s">
        <v>112</v>
      </c>
      <c r="E7" t="s">
        <v>113</v>
      </c>
      <c r="F7" t="s">
        <v>114</v>
      </c>
      <c r="G7" t="s">
        <v>115</v>
      </c>
      <c r="H7" t="s">
        <v>116</v>
      </c>
      <c r="I7" t="s">
        <v>1372</v>
      </c>
      <c r="J7" t="s">
        <v>118</v>
      </c>
      <c r="K7" t="s">
        <v>119</v>
      </c>
      <c r="L7" t="s">
        <v>120</v>
      </c>
      <c r="M7" t="s">
        <v>121</v>
      </c>
      <c r="N7" t="s">
        <v>122</v>
      </c>
      <c r="P7" t="s">
        <v>54</v>
      </c>
      <c r="Q7" t="s">
        <v>211</v>
      </c>
      <c r="R7" t="s">
        <v>500</v>
      </c>
      <c r="S7" t="s">
        <v>143</v>
      </c>
      <c r="T7" t="s">
        <v>386</v>
      </c>
      <c r="U7" t="s">
        <v>127</v>
      </c>
      <c r="V7" t="s">
        <v>161</v>
      </c>
      <c r="W7" t="s">
        <v>387</v>
      </c>
      <c r="X7" t="s">
        <v>1362</v>
      </c>
      <c r="Y7" t="s">
        <v>161</v>
      </c>
      <c r="Z7" t="s">
        <v>163</v>
      </c>
      <c r="AA7" t="s">
        <v>138</v>
      </c>
    </row>
    <row r="8" spans="1:27">
      <c r="A8" t="s">
        <v>1373</v>
      </c>
      <c r="B8" s="1">
        <v>41479</v>
      </c>
      <c r="C8" t="s">
        <v>111</v>
      </c>
      <c r="D8" t="s">
        <v>112</v>
      </c>
      <c r="E8" t="s">
        <v>113</v>
      </c>
      <c r="F8" t="s">
        <v>114</v>
      </c>
      <c r="G8" t="s">
        <v>115</v>
      </c>
      <c r="H8" t="s">
        <v>116</v>
      </c>
      <c r="I8" t="s">
        <v>1374</v>
      </c>
      <c r="J8" t="s">
        <v>118</v>
      </c>
      <c r="K8" t="s">
        <v>119</v>
      </c>
      <c r="L8" t="s">
        <v>120</v>
      </c>
      <c r="M8" t="s">
        <v>121</v>
      </c>
      <c r="N8" t="s">
        <v>122</v>
      </c>
      <c r="P8" t="s">
        <v>53</v>
      </c>
      <c r="Q8" t="s">
        <v>1375</v>
      </c>
      <c r="R8" t="s">
        <v>135</v>
      </c>
      <c r="S8" t="s">
        <v>264</v>
      </c>
      <c r="T8" t="s">
        <v>272</v>
      </c>
      <c r="U8" t="s">
        <v>145</v>
      </c>
      <c r="V8" t="s">
        <v>1081</v>
      </c>
      <c r="W8" t="s">
        <v>1376</v>
      </c>
      <c r="X8" t="s">
        <v>1362</v>
      </c>
      <c r="Y8" t="s">
        <v>1081</v>
      </c>
      <c r="Z8" t="s">
        <v>148</v>
      </c>
      <c r="AA8" t="s">
        <v>268</v>
      </c>
    </row>
    <row r="9" spans="1:27">
      <c r="A9" t="s">
        <v>1183</v>
      </c>
      <c r="B9" s="1">
        <v>41479</v>
      </c>
      <c r="C9" t="s">
        <v>111</v>
      </c>
      <c r="D9" t="s">
        <v>112</v>
      </c>
      <c r="E9" t="s">
        <v>113</v>
      </c>
      <c r="F9" t="s">
        <v>114</v>
      </c>
      <c r="G9" t="s">
        <v>115</v>
      </c>
      <c r="H9" t="s">
        <v>116</v>
      </c>
      <c r="I9" t="s">
        <v>1184</v>
      </c>
      <c r="J9" t="s">
        <v>118</v>
      </c>
      <c r="K9" t="s">
        <v>119</v>
      </c>
      <c r="L9" t="s">
        <v>120</v>
      </c>
      <c r="M9" t="s">
        <v>121</v>
      </c>
      <c r="N9" t="s">
        <v>122</v>
      </c>
      <c r="P9" t="s">
        <v>52</v>
      </c>
      <c r="Q9" t="s">
        <v>159</v>
      </c>
      <c r="R9" t="s">
        <v>135</v>
      </c>
      <c r="S9" t="s">
        <v>143</v>
      </c>
      <c r="T9" t="s">
        <v>1185</v>
      </c>
      <c r="U9" t="s">
        <v>127</v>
      </c>
      <c r="V9" t="s">
        <v>128</v>
      </c>
      <c r="W9" t="s">
        <v>1377</v>
      </c>
      <c r="X9" t="s">
        <v>1187</v>
      </c>
      <c r="Y9" t="s">
        <v>128</v>
      </c>
      <c r="Z9" t="s">
        <v>340</v>
      </c>
      <c r="AA9" t="s">
        <v>138</v>
      </c>
    </row>
    <row r="10" spans="1:27">
      <c r="A10" t="s">
        <v>1378</v>
      </c>
      <c r="B10" s="1">
        <v>41479</v>
      </c>
      <c r="C10" t="s">
        <v>111</v>
      </c>
      <c r="D10" t="s">
        <v>112</v>
      </c>
      <c r="E10" t="s">
        <v>113</v>
      </c>
      <c r="F10" t="s">
        <v>114</v>
      </c>
      <c r="G10" t="s">
        <v>115</v>
      </c>
      <c r="I10" t="s">
        <v>1379</v>
      </c>
      <c r="J10" t="s">
        <v>118</v>
      </c>
      <c r="K10" t="s">
        <v>119</v>
      </c>
      <c r="L10" t="s">
        <v>120</v>
      </c>
      <c r="M10" t="s">
        <v>121</v>
      </c>
      <c r="N10" t="s">
        <v>199</v>
      </c>
      <c r="O10" t="s">
        <v>6</v>
      </c>
      <c r="P10" t="s">
        <v>52</v>
      </c>
      <c r="Q10" t="s">
        <v>123</v>
      </c>
      <c r="S10" t="s">
        <v>168</v>
      </c>
      <c r="T10" t="s">
        <v>1113</v>
      </c>
      <c r="W10" t="s">
        <v>429</v>
      </c>
      <c r="X10" t="s">
        <v>1362</v>
      </c>
      <c r="Z10" t="s">
        <v>1182</v>
      </c>
      <c r="AA10" t="s">
        <v>327</v>
      </c>
    </row>
    <row r="11" spans="1:27">
      <c r="A11" t="s">
        <v>1380</v>
      </c>
      <c r="B11" s="1">
        <v>41479</v>
      </c>
      <c r="C11" t="s">
        <v>111</v>
      </c>
      <c r="D11" t="s">
        <v>112</v>
      </c>
      <c r="E11" t="s">
        <v>113</v>
      </c>
      <c r="F11" t="s">
        <v>114</v>
      </c>
      <c r="G11" t="s">
        <v>115</v>
      </c>
      <c r="I11" t="s">
        <v>1381</v>
      </c>
      <c r="J11" t="s">
        <v>118</v>
      </c>
      <c r="K11" t="s">
        <v>119</v>
      </c>
      <c r="L11" t="s">
        <v>120</v>
      </c>
      <c r="M11" t="s">
        <v>121</v>
      </c>
      <c r="N11" t="s">
        <v>199</v>
      </c>
      <c r="O11" t="s">
        <v>3</v>
      </c>
      <c r="P11" t="s">
        <v>52</v>
      </c>
      <c r="Q11" t="s">
        <v>123</v>
      </c>
      <c r="S11" t="s">
        <v>168</v>
      </c>
      <c r="T11" t="s">
        <v>1113</v>
      </c>
      <c r="W11" t="s">
        <v>429</v>
      </c>
      <c r="X11" t="s">
        <v>1362</v>
      </c>
      <c r="Z11" t="s">
        <v>1182</v>
      </c>
      <c r="AA11" t="s">
        <v>327</v>
      </c>
    </row>
    <row r="12" spans="1:27">
      <c r="A12" t="s">
        <v>1382</v>
      </c>
      <c r="B12" s="1">
        <v>41479</v>
      </c>
      <c r="C12" t="s">
        <v>111</v>
      </c>
      <c r="D12" t="s">
        <v>112</v>
      </c>
      <c r="E12" t="s">
        <v>113</v>
      </c>
      <c r="F12" t="s">
        <v>114</v>
      </c>
      <c r="G12" t="s">
        <v>115</v>
      </c>
      <c r="I12" t="s">
        <v>1383</v>
      </c>
      <c r="J12" t="s">
        <v>118</v>
      </c>
      <c r="K12" t="s">
        <v>119</v>
      </c>
      <c r="L12" t="s">
        <v>120</v>
      </c>
      <c r="M12" t="s">
        <v>121</v>
      </c>
      <c r="N12" t="s">
        <v>199</v>
      </c>
      <c r="O12" t="s">
        <v>10</v>
      </c>
      <c r="P12" t="s">
        <v>52</v>
      </c>
      <c r="Q12" t="s">
        <v>123</v>
      </c>
      <c r="S12" t="s">
        <v>168</v>
      </c>
      <c r="T12" t="s">
        <v>1113</v>
      </c>
      <c r="W12" t="s">
        <v>429</v>
      </c>
      <c r="X12" t="s">
        <v>1362</v>
      </c>
      <c r="Z12" t="s">
        <v>943</v>
      </c>
      <c r="AA12" t="s">
        <v>327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8.xml><?xml version="1.0" encoding="utf-8"?>
<worksheet xmlns="http://schemas.openxmlformats.org/spreadsheetml/2006/main" xmlns:r="http://schemas.openxmlformats.org/officeDocument/2006/relationships">
  <dimension ref="A1:AA4"/>
  <sheetViews>
    <sheetView workbookViewId="0">
      <selection activeCell="I2" sqref="I2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1380</v>
      </c>
      <c r="B2" s="1">
        <v>41479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I2" t="s">
        <v>1381</v>
      </c>
      <c r="J2" t="s">
        <v>118</v>
      </c>
      <c r="K2" t="s">
        <v>119</v>
      </c>
      <c r="L2" t="s">
        <v>120</v>
      </c>
      <c r="M2" t="s">
        <v>121</v>
      </c>
      <c r="N2" t="s">
        <v>199</v>
      </c>
      <c r="O2" t="s">
        <v>3</v>
      </c>
      <c r="P2" t="s">
        <v>52</v>
      </c>
      <c r="Q2" t="s">
        <v>123</v>
      </c>
      <c r="S2" t="s">
        <v>168</v>
      </c>
      <c r="T2" t="s">
        <v>1113</v>
      </c>
      <c r="W2" t="s">
        <v>429</v>
      </c>
      <c r="X2" t="s">
        <v>1362</v>
      </c>
      <c r="Z2" t="s">
        <v>1182</v>
      </c>
      <c r="AA2" t="s">
        <v>327</v>
      </c>
    </row>
    <row r="3" spans="1:27">
      <c r="A3" t="s">
        <v>1378</v>
      </c>
      <c r="B3" s="1">
        <v>41479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I3" t="s">
        <v>1379</v>
      </c>
      <c r="J3" t="s">
        <v>118</v>
      </c>
      <c r="K3" t="s">
        <v>119</v>
      </c>
      <c r="L3" t="s">
        <v>120</v>
      </c>
      <c r="M3" t="s">
        <v>121</v>
      </c>
      <c r="N3" t="s">
        <v>199</v>
      </c>
      <c r="O3" t="s">
        <v>6</v>
      </c>
      <c r="P3" t="s">
        <v>52</v>
      </c>
      <c r="Q3" t="s">
        <v>123</v>
      </c>
      <c r="S3" t="s">
        <v>168</v>
      </c>
      <c r="T3" t="s">
        <v>1113</v>
      </c>
      <c r="W3" t="s">
        <v>429</v>
      </c>
      <c r="X3" t="s">
        <v>1362</v>
      </c>
      <c r="Z3" t="s">
        <v>1182</v>
      </c>
      <c r="AA3" t="s">
        <v>327</v>
      </c>
    </row>
    <row r="4" spans="1:27">
      <c r="A4" t="s">
        <v>1382</v>
      </c>
      <c r="B4" s="1">
        <v>41479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I4" t="s">
        <v>1383</v>
      </c>
      <c r="J4" t="s">
        <v>118</v>
      </c>
      <c r="K4" t="s">
        <v>119</v>
      </c>
      <c r="L4" t="s">
        <v>120</v>
      </c>
      <c r="M4" t="s">
        <v>121</v>
      </c>
      <c r="N4" t="s">
        <v>199</v>
      </c>
      <c r="O4" t="s">
        <v>10</v>
      </c>
      <c r="P4" t="s">
        <v>52</v>
      </c>
      <c r="Q4" t="s">
        <v>123</v>
      </c>
      <c r="S4" t="s">
        <v>168</v>
      </c>
      <c r="T4" t="s">
        <v>1113</v>
      </c>
      <c r="W4" t="s">
        <v>429</v>
      </c>
      <c r="X4" t="s">
        <v>1362</v>
      </c>
      <c r="Z4" t="s">
        <v>943</v>
      </c>
      <c r="AA4" t="s">
        <v>327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9.xml><?xml version="1.0" encoding="utf-8"?>
<worksheet xmlns="http://schemas.openxmlformats.org/spreadsheetml/2006/main" xmlns:r="http://schemas.openxmlformats.org/officeDocument/2006/relationships">
  <dimension ref="A1:AA4"/>
  <sheetViews>
    <sheetView workbookViewId="0">
      <selection sqref="A1:XFD1048576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1384</v>
      </c>
      <c r="B2" s="1">
        <v>41480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H2" t="s">
        <v>116</v>
      </c>
      <c r="I2" t="s">
        <v>1385</v>
      </c>
      <c r="J2" t="s">
        <v>118</v>
      </c>
      <c r="K2" t="s">
        <v>119</v>
      </c>
      <c r="L2" t="s">
        <v>120</v>
      </c>
      <c r="M2" t="s">
        <v>121</v>
      </c>
      <c r="N2" t="s">
        <v>122</v>
      </c>
      <c r="P2" t="s">
        <v>52</v>
      </c>
      <c r="Q2" t="s">
        <v>123</v>
      </c>
      <c r="R2" t="s">
        <v>135</v>
      </c>
      <c r="S2" t="s">
        <v>143</v>
      </c>
      <c r="T2" t="s">
        <v>1386</v>
      </c>
      <c r="U2" t="s">
        <v>127</v>
      </c>
      <c r="V2" t="s">
        <v>128</v>
      </c>
      <c r="W2" t="s">
        <v>1387</v>
      </c>
      <c r="X2" t="s">
        <v>1388</v>
      </c>
      <c r="Y2" t="s">
        <v>128</v>
      </c>
      <c r="Z2" t="s">
        <v>350</v>
      </c>
      <c r="AA2" t="s">
        <v>138</v>
      </c>
    </row>
    <row r="3" spans="1:27">
      <c r="A3" t="s">
        <v>1389</v>
      </c>
      <c r="B3" s="1">
        <v>41480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H3" t="s">
        <v>116</v>
      </c>
      <c r="I3" t="s">
        <v>1390</v>
      </c>
      <c r="J3" t="s">
        <v>118</v>
      </c>
      <c r="K3" t="s">
        <v>119</v>
      </c>
      <c r="L3" t="s">
        <v>120</v>
      </c>
      <c r="M3" t="s">
        <v>121</v>
      </c>
      <c r="N3" t="s">
        <v>122</v>
      </c>
      <c r="P3" t="s">
        <v>53</v>
      </c>
      <c r="Q3" t="s">
        <v>343</v>
      </c>
      <c r="R3" t="s">
        <v>1391</v>
      </c>
      <c r="S3" t="s">
        <v>143</v>
      </c>
      <c r="T3" t="s">
        <v>1392</v>
      </c>
      <c r="U3" t="s">
        <v>127</v>
      </c>
      <c r="V3" t="s">
        <v>128</v>
      </c>
      <c r="W3" t="s">
        <v>1393</v>
      </c>
      <c r="X3" t="s">
        <v>1388</v>
      </c>
      <c r="Y3" t="s">
        <v>128</v>
      </c>
      <c r="Z3" t="s">
        <v>431</v>
      </c>
      <c r="AA3" t="s">
        <v>149</v>
      </c>
    </row>
    <row r="4" spans="1:27">
      <c r="A4" t="s">
        <v>1394</v>
      </c>
      <c r="B4" s="1">
        <v>41480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H4" t="s">
        <v>361</v>
      </c>
      <c r="I4" t="s">
        <v>1395</v>
      </c>
      <c r="J4" t="s">
        <v>118</v>
      </c>
      <c r="K4" t="s">
        <v>119</v>
      </c>
      <c r="L4" t="s">
        <v>120</v>
      </c>
      <c r="M4" t="s">
        <v>121</v>
      </c>
      <c r="N4" t="s">
        <v>122</v>
      </c>
      <c r="P4" t="s">
        <v>54</v>
      </c>
      <c r="Q4" t="s">
        <v>1396</v>
      </c>
      <c r="R4" t="s">
        <v>1397</v>
      </c>
      <c r="S4" t="s">
        <v>1222</v>
      </c>
      <c r="T4" t="s">
        <v>1398</v>
      </c>
      <c r="U4" t="s">
        <v>127</v>
      </c>
      <c r="V4" t="s">
        <v>128</v>
      </c>
      <c r="W4" t="s">
        <v>1399</v>
      </c>
      <c r="X4" t="s">
        <v>1362</v>
      </c>
      <c r="Y4" t="s">
        <v>128</v>
      </c>
      <c r="Z4" t="s">
        <v>458</v>
      </c>
      <c r="AA4" t="s">
        <v>1400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0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AA13"/>
  <sheetViews>
    <sheetView workbookViewId="0">
      <selection activeCell="I4" sqref="I4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1401</v>
      </c>
      <c r="B2" s="1">
        <v>41481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H2" t="s">
        <v>116</v>
      </c>
      <c r="I2" t="s">
        <v>1402</v>
      </c>
      <c r="J2" t="s">
        <v>118</v>
      </c>
      <c r="K2" t="s">
        <v>119</v>
      </c>
      <c r="L2" t="s">
        <v>120</v>
      </c>
      <c r="M2" t="s">
        <v>121</v>
      </c>
      <c r="N2" t="s">
        <v>122</v>
      </c>
      <c r="P2" t="s">
        <v>53</v>
      </c>
      <c r="Q2" t="s">
        <v>586</v>
      </c>
      <c r="R2" t="s">
        <v>135</v>
      </c>
      <c r="S2" t="s">
        <v>168</v>
      </c>
      <c r="T2" t="s">
        <v>126</v>
      </c>
      <c r="U2" t="s">
        <v>286</v>
      </c>
      <c r="V2" t="s">
        <v>128</v>
      </c>
      <c r="W2" t="s">
        <v>1367</v>
      </c>
      <c r="X2" t="s">
        <v>1217</v>
      </c>
      <c r="Y2" t="s">
        <v>128</v>
      </c>
      <c r="Z2" t="s">
        <v>1403</v>
      </c>
      <c r="AA2" t="s">
        <v>138</v>
      </c>
    </row>
    <row r="3" spans="1:27">
      <c r="A3" t="s">
        <v>1404</v>
      </c>
      <c r="B3" s="1">
        <v>41481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H3" t="s">
        <v>116</v>
      </c>
      <c r="I3" t="s">
        <v>1405</v>
      </c>
      <c r="J3" t="s">
        <v>118</v>
      </c>
      <c r="K3" t="s">
        <v>119</v>
      </c>
      <c r="L3" t="s">
        <v>120</v>
      </c>
      <c r="M3" t="s">
        <v>121</v>
      </c>
      <c r="N3" t="s">
        <v>122</v>
      </c>
      <c r="P3" t="s">
        <v>52</v>
      </c>
      <c r="Q3" t="s">
        <v>123</v>
      </c>
      <c r="R3" t="s">
        <v>1406</v>
      </c>
      <c r="S3" t="s">
        <v>168</v>
      </c>
      <c r="T3" t="s">
        <v>1113</v>
      </c>
      <c r="U3" t="s">
        <v>1407</v>
      </c>
      <c r="V3" t="s">
        <v>128</v>
      </c>
      <c r="W3" t="s">
        <v>429</v>
      </c>
      <c r="X3" t="s">
        <v>1408</v>
      </c>
      <c r="Y3" t="s">
        <v>128</v>
      </c>
      <c r="Z3" t="s">
        <v>943</v>
      </c>
      <c r="AA3" t="s">
        <v>327</v>
      </c>
    </row>
    <row r="4" spans="1:27">
      <c r="A4" t="s">
        <v>1409</v>
      </c>
      <c r="B4" s="1">
        <v>41481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H4" t="s">
        <v>116</v>
      </c>
      <c r="I4" t="s">
        <v>1410</v>
      </c>
      <c r="J4" t="s">
        <v>118</v>
      </c>
      <c r="K4" t="s">
        <v>119</v>
      </c>
      <c r="L4" t="s">
        <v>120</v>
      </c>
      <c r="M4" t="s">
        <v>121</v>
      </c>
      <c r="N4" t="s">
        <v>122</v>
      </c>
      <c r="P4" t="s">
        <v>53</v>
      </c>
      <c r="Q4" t="s">
        <v>309</v>
      </c>
      <c r="R4" t="s">
        <v>135</v>
      </c>
      <c r="S4" t="s">
        <v>143</v>
      </c>
      <c r="T4" t="s">
        <v>285</v>
      </c>
      <c r="U4" t="s">
        <v>155</v>
      </c>
      <c r="V4" t="s">
        <v>161</v>
      </c>
      <c r="W4" t="s">
        <v>1411</v>
      </c>
      <c r="X4" t="s">
        <v>1408</v>
      </c>
      <c r="Y4" t="s">
        <v>161</v>
      </c>
      <c r="Z4" t="s">
        <v>985</v>
      </c>
      <c r="AA4" t="s">
        <v>149</v>
      </c>
    </row>
    <row r="5" spans="1:27">
      <c r="A5" t="s">
        <v>1412</v>
      </c>
      <c r="B5" s="1">
        <v>41481</v>
      </c>
      <c r="C5" t="s">
        <v>111</v>
      </c>
      <c r="D5" t="s">
        <v>112</v>
      </c>
      <c r="E5" t="s">
        <v>113</v>
      </c>
      <c r="F5" t="s">
        <v>114</v>
      </c>
      <c r="G5" t="s">
        <v>115</v>
      </c>
      <c r="I5" t="s">
        <v>1413</v>
      </c>
      <c r="J5" t="s">
        <v>118</v>
      </c>
      <c r="K5" t="s">
        <v>119</v>
      </c>
      <c r="L5" t="s">
        <v>120</v>
      </c>
      <c r="M5" t="s">
        <v>121</v>
      </c>
      <c r="N5" t="s">
        <v>199</v>
      </c>
      <c r="O5" t="s">
        <v>10</v>
      </c>
      <c r="P5" t="s">
        <v>52</v>
      </c>
      <c r="Q5" t="s">
        <v>123</v>
      </c>
      <c r="S5" t="s">
        <v>168</v>
      </c>
      <c r="T5" t="s">
        <v>1113</v>
      </c>
      <c r="W5" t="s">
        <v>429</v>
      </c>
      <c r="X5" t="s">
        <v>1408</v>
      </c>
      <c r="Z5" t="s">
        <v>281</v>
      </c>
      <c r="AA5" t="s">
        <v>327</v>
      </c>
    </row>
    <row r="6" spans="1:27">
      <c r="A6" t="s">
        <v>1414</v>
      </c>
      <c r="B6" s="1">
        <v>41481</v>
      </c>
      <c r="C6" t="s">
        <v>111</v>
      </c>
      <c r="D6" t="s">
        <v>112</v>
      </c>
      <c r="E6" t="s">
        <v>113</v>
      </c>
      <c r="F6" t="s">
        <v>114</v>
      </c>
      <c r="G6" t="s">
        <v>115</v>
      </c>
      <c r="I6" t="s">
        <v>1415</v>
      </c>
      <c r="J6" t="s">
        <v>118</v>
      </c>
      <c r="K6" t="s">
        <v>119</v>
      </c>
      <c r="L6" t="s">
        <v>120</v>
      </c>
      <c r="M6" t="s">
        <v>121</v>
      </c>
      <c r="N6" t="s">
        <v>199</v>
      </c>
      <c r="O6" t="s">
        <v>10</v>
      </c>
      <c r="P6" t="s">
        <v>52</v>
      </c>
      <c r="Q6" t="s">
        <v>123</v>
      </c>
      <c r="S6" t="s">
        <v>168</v>
      </c>
      <c r="T6" t="s">
        <v>1113</v>
      </c>
      <c r="W6" t="s">
        <v>429</v>
      </c>
      <c r="X6" t="s">
        <v>1408</v>
      </c>
      <c r="Z6" t="s">
        <v>218</v>
      </c>
      <c r="AA6" t="s">
        <v>327</v>
      </c>
    </row>
    <row r="7" spans="1:27">
      <c r="A7" t="s">
        <v>1416</v>
      </c>
      <c r="B7" s="1">
        <v>41481</v>
      </c>
      <c r="C7" t="s">
        <v>111</v>
      </c>
      <c r="D7" t="s">
        <v>112</v>
      </c>
      <c r="E7" t="s">
        <v>113</v>
      </c>
      <c r="F7" t="s">
        <v>114</v>
      </c>
      <c r="G7" t="s">
        <v>115</v>
      </c>
      <c r="I7" t="s">
        <v>1417</v>
      </c>
      <c r="J7" t="s">
        <v>118</v>
      </c>
      <c r="K7" t="s">
        <v>119</v>
      </c>
      <c r="L7" t="s">
        <v>120</v>
      </c>
      <c r="M7" t="s">
        <v>121</v>
      </c>
      <c r="N7" t="s">
        <v>199</v>
      </c>
      <c r="O7" t="s">
        <v>3</v>
      </c>
      <c r="P7" t="s">
        <v>52</v>
      </c>
      <c r="Q7" t="s">
        <v>123</v>
      </c>
      <c r="S7" t="s">
        <v>168</v>
      </c>
      <c r="T7" t="s">
        <v>1113</v>
      </c>
      <c r="W7" t="s">
        <v>429</v>
      </c>
      <c r="X7" t="s">
        <v>1408</v>
      </c>
      <c r="Z7" t="s">
        <v>1110</v>
      </c>
      <c r="AA7" t="s">
        <v>327</v>
      </c>
    </row>
    <row r="8" spans="1:27">
      <c r="A8" t="s">
        <v>1418</v>
      </c>
      <c r="B8" s="1">
        <v>41481</v>
      </c>
      <c r="C8" t="s">
        <v>111</v>
      </c>
      <c r="D8" t="s">
        <v>112</v>
      </c>
      <c r="E8" t="s">
        <v>113</v>
      </c>
      <c r="F8" t="s">
        <v>114</v>
      </c>
      <c r="G8" t="s">
        <v>115</v>
      </c>
      <c r="I8" t="s">
        <v>1419</v>
      </c>
      <c r="J8" t="s">
        <v>118</v>
      </c>
      <c r="K8" t="s">
        <v>119</v>
      </c>
      <c r="L8" t="s">
        <v>120</v>
      </c>
      <c r="M8" t="s">
        <v>121</v>
      </c>
      <c r="N8" t="s">
        <v>199</v>
      </c>
      <c r="O8" t="s">
        <v>10</v>
      </c>
      <c r="P8" t="s">
        <v>52</v>
      </c>
      <c r="Q8" t="s">
        <v>123</v>
      </c>
      <c r="S8" t="s">
        <v>168</v>
      </c>
      <c r="T8" t="s">
        <v>1113</v>
      </c>
      <c r="W8" t="s">
        <v>429</v>
      </c>
      <c r="X8" t="s">
        <v>1408</v>
      </c>
      <c r="Z8" t="s">
        <v>202</v>
      </c>
      <c r="AA8" t="s">
        <v>327</v>
      </c>
    </row>
    <row r="9" spans="1:27">
      <c r="A9" t="s">
        <v>1420</v>
      </c>
      <c r="B9" s="1">
        <v>41481</v>
      </c>
      <c r="C9" t="s">
        <v>111</v>
      </c>
      <c r="D9" t="s">
        <v>112</v>
      </c>
      <c r="E9" t="s">
        <v>113</v>
      </c>
      <c r="F9" t="s">
        <v>114</v>
      </c>
      <c r="G9" t="s">
        <v>115</v>
      </c>
      <c r="I9" t="s">
        <v>1421</v>
      </c>
      <c r="J9" t="s">
        <v>118</v>
      </c>
      <c r="K9" t="s">
        <v>119</v>
      </c>
      <c r="L9" t="s">
        <v>120</v>
      </c>
      <c r="M9" t="s">
        <v>121</v>
      </c>
      <c r="N9" t="s">
        <v>199</v>
      </c>
      <c r="O9" t="s">
        <v>6</v>
      </c>
      <c r="P9" t="s">
        <v>52</v>
      </c>
      <c r="Q9" t="s">
        <v>123</v>
      </c>
      <c r="S9" t="s">
        <v>168</v>
      </c>
      <c r="T9" t="s">
        <v>1113</v>
      </c>
      <c r="W9" t="s">
        <v>429</v>
      </c>
      <c r="X9" t="s">
        <v>1408</v>
      </c>
      <c r="Z9" t="s">
        <v>985</v>
      </c>
      <c r="AA9" t="s">
        <v>327</v>
      </c>
    </row>
    <row r="10" spans="1:27">
      <c r="A10" t="s">
        <v>1422</v>
      </c>
      <c r="B10" s="1">
        <v>41481</v>
      </c>
      <c r="C10" t="s">
        <v>111</v>
      </c>
      <c r="D10" t="s">
        <v>112</v>
      </c>
      <c r="E10" t="s">
        <v>113</v>
      </c>
      <c r="F10" t="s">
        <v>114</v>
      </c>
      <c r="G10" t="s">
        <v>115</v>
      </c>
      <c r="I10" t="s">
        <v>1117</v>
      </c>
      <c r="J10" t="s">
        <v>118</v>
      </c>
      <c r="K10" t="s">
        <v>119</v>
      </c>
      <c r="L10" t="s">
        <v>120</v>
      </c>
      <c r="M10" t="s">
        <v>121</v>
      </c>
      <c r="N10" t="s">
        <v>199</v>
      </c>
      <c r="O10" t="s">
        <v>3</v>
      </c>
      <c r="P10" t="s">
        <v>52</v>
      </c>
      <c r="Q10" t="s">
        <v>123</v>
      </c>
      <c r="S10" t="s">
        <v>168</v>
      </c>
      <c r="T10" t="s">
        <v>169</v>
      </c>
      <c r="W10" t="s">
        <v>302</v>
      </c>
      <c r="X10" t="s">
        <v>1109</v>
      </c>
      <c r="Z10" t="s">
        <v>225</v>
      </c>
      <c r="AA10" t="s">
        <v>304</v>
      </c>
    </row>
    <row r="11" spans="1:27">
      <c r="A11" t="s">
        <v>1423</v>
      </c>
      <c r="B11" s="1">
        <v>41481</v>
      </c>
      <c r="C11" t="s">
        <v>111</v>
      </c>
      <c r="D11" t="s">
        <v>112</v>
      </c>
      <c r="E11" t="s">
        <v>113</v>
      </c>
      <c r="F11" t="s">
        <v>114</v>
      </c>
      <c r="G11" t="s">
        <v>115</v>
      </c>
      <c r="I11" t="s">
        <v>1364</v>
      </c>
      <c r="J11" t="s">
        <v>118</v>
      </c>
      <c r="K11" t="s">
        <v>119</v>
      </c>
      <c r="L11" t="s">
        <v>120</v>
      </c>
      <c r="M11" t="s">
        <v>121</v>
      </c>
      <c r="N11" t="s">
        <v>199</v>
      </c>
      <c r="O11" t="s">
        <v>6</v>
      </c>
      <c r="P11" t="s">
        <v>52</v>
      </c>
      <c r="Q11" t="s">
        <v>123</v>
      </c>
      <c r="S11" t="s">
        <v>168</v>
      </c>
      <c r="T11" t="s">
        <v>1113</v>
      </c>
      <c r="W11" t="s">
        <v>429</v>
      </c>
      <c r="X11" t="s">
        <v>1408</v>
      </c>
      <c r="Z11" t="s">
        <v>1171</v>
      </c>
      <c r="AA11" t="s">
        <v>327</v>
      </c>
    </row>
    <row r="12" spans="1:27">
      <c r="A12" t="s">
        <v>1425</v>
      </c>
      <c r="B12" s="1">
        <v>41481</v>
      </c>
      <c r="C12" t="s">
        <v>111</v>
      </c>
      <c r="D12" t="s">
        <v>112</v>
      </c>
      <c r="E12" t="s">
        <v>113</v>
      </c>
      <c r="F12" t="s">
        <v>114</v>
      </c>
      <c r="G12" t="s">
        <v>115</v>
      </c>
      <c r="I12" t="s">
        <v>1426</v>
      </c>
      <c r="J12" t="s">
        <v>118</v>
      </c>
      <c r="K12" t="s">
        <v>119</v>
      </c>
      <c r="L12" t="s">
        <v>120</v>
      </c>
      <c r="M12" t="s">
        <v>121</v>
      </c>
      <c r="N12" t="s">
        <v>199</v>
      </c>
      <c r="O12" t="s">
        <v>6</v>
      </c>
      <c r="P12" t="s">
        <v>52</v>
      </c>
      <c r="Q12" t="s">
        <v>123</v>
      </c>
      <c r="S12" t="s">
        <v>168</v>
      </c>
      <c r="T12" t="s">
        <v>1113</v>
      </c>
      <c r="W12" t="s">
        <v>429</v>
      </c>
      <c r="X12" t="s">
        <v>1408</v>
      </c>
      <c r="Z12" t="s">
        <v>431</v>
      </c>
      <c r="AA12" t="s">
        <v>327</v>
      </c>
    </row>
    <row r="13" spans="1:27">
      <c r="A13" t="s">
        <v>1427</v>
      </c>
      <c r="B13" s="1">
        <v>41481</v>
      </c>
      <c r="C13" t="s">
        <v>111</v>
      </c>
      <c r="D13" t="s">
        <v>112</v>
      </c>
      <c r="E13" t="s">
        <v>113</v>
      </c>
      <c r="F13" t="s">
        <v>114</v>
      </c>
      <c r="G13" t="s">
        <v>115</v>
      </c>
      <c r="I13" t="s">
        <v>1428</v>
      </c>
      <c r="J13" t="s">
        <v>118</v>
      </c>
      <c r="K13" t="s">
        <v>119</v>
      </c>
      <c r="L13" t="s">
        <v>120</v>
      </c>
      <c r="M13" t="s">
        <v>121</v>
      </c>
      <c r="N13" t="s">
        <v>199</v>
      </c>
      <c r="O13" t="s">
        <v>10</v>
      </c>
      <c r="P13" t="s">
        <v>52</v>
      </c>
      <c r="Q13" t="s">
        <v>123</v>
      </c>
      <c r="S13" t="s">
        <v>168</v>
      </c>
      <c r="T13" t="s">
        <v>1113</v>
      </c>
      <c r="W13" t="s">
        <v>429</v>
      </c>
      <c r="X13" t="s">
        <v>1408</v>
      </c>
      <c r="Z13" t="s">
        <v>292</v>
      </c>
      <c r="AA13" t="s">
        <v>327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2.xml><?xml version="1.0" encoding="utf-8"?>
<worksheet xmlns="http://schemas.openxmlformats.org/spreadsheetml/2006/main" xmlns:r="http://schemas.openxmlformats.org/officeDocument/2006/relationships">
  <dimension ref="A1:AA11"/>
  <sheetViews>
    <sheetView workbookViewId="0">
      <selection activeCell="I2" sqref="I2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1416</v>
      </c>
      <c r="B2" s="1">
        <v>41481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I2" t="s">
        <v>1417</v>
      </c>
      <c r="J2" t="s">
        <v>118</v>
      </c>
      <c r="K2" t="s">
        <v>119</v>
      </c>
      <c r="L2" t="s">
        <v>120</v>
      </c>
      <c r="M2" t="s">
        <v>121</v>
      </c>
      <c r="N2" t="s">
        <v>199</v>
      </c>
      <c r="O2" t="s">
        <v>3</v>
      </c>
      <c r="P2" t="s">
        <v>52</v>
      </c>
      <c r="Q2" t="s">
        <v>123</v>
      </c>
      <c r="S2" t="s">
        <v>168</v>
      </c>
      <c r="T2" t="s">
        <v>1113</v>
      </c>
      <c r="W2" t="s">
        <v>429</v>
      </c>
      <c r="X2" t="s">
        <v>1408</v>
      </c>
      <c r="Z2" t="s">
        <v>1110</v>
      </c>
      <c r="AA2" t="s">
        <v>327</v>
      </c>
    </row>
    <row r="3" spans="1:27">
      <c r="A3" t="s">
        <v>1422</v>
      </c>
      <c r="B3" s="1">
        <v>41481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I3" t="s">
        <v>1117</v>
      </c>
      <c r="J3" t="s">
        <v>118</v>
      </c>
      <c r="K3" t="s">
        <v>119</v>
      </c>
      <c r="L3" t="s">
        <v>120</v>
      </c>
      <c r="M3" t="s">
        <v>121</v>
      </c>
      <c r="N3" t="s">
        <v>199</v>
      </c>
      <c r="O3" t="s">
        <v>3</v>
      </c>
      <c r="P3" t="s">
        <v>52</v>
      </c>
      <c r="Q3" t="s">
        <v>123</v>
      </c>
      <c r="S3" t="s">
        <v>168</v>
      </c>
      <c r="T3" t="s">
        <v>169</v>
      </c>
      <c r="W3" t="s">
        <v>302</v>
      </c>
      <c r="X3" t="s">
        <v>1109</v>
      </c>
      <c r="Z3" t="s">
        <v>225</v>
      </c>
      <c r="AA3" t="s">
        <v>304</v>
      </c>
    </row>
    <row r="4" spans="1:27">
      <c r="A4" t="s">
        <v>1420</v>
      </c>
      <c r="B4" s="1">
        <v>41481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I4" t="s">
        <v>1421</v>
      </c>
      <c r="J4" t="s">
        <v>118</v>
      </c>
      <c r="K4" t="s">
        <v>119</v>
      </c>
      <c r="L4" t="s">
        <v>120</v>
      </c>
      <c r="M4" t="s">
        <v>121</v>
      </c>
      <c r="N4" t="s">
        <v>199</v>
      </c>
      <c r="O4" t="s">
        <v>6</v>
      </c>
      <c r="P4" t="s">
        <v>52</v>
      </c>
      <c r="Q4" t="s">
        <v>123</v>
      </c>
      <c r="S4" t="s">
        <v>168</v>
      </c>
      <c r="T4" t="s">
        <v>1113</v>
      </c>
      <c r="W4" t="s">
        <v>429</v>
      </c>
      <c r="X4" t="s">
        <v>1408</v>
      </c>
      <c r="Z4" t="s">
        <v>985</v>
      </c>
      <c r="AA4" t="s">
        <v>327</v>
      </c>
    </row>
    <row r="5" spans="1:27">
      <c r="A5" t="s">
        <v>1423</v>
      </c>
      <c r="B5" s="1">
        <v>41481</v>
      </c>
      <c r="C5" t="s">
        <v>111</v>
      </c>
      <c r="D5" t="s">
        <v>112</v>
      </c>
      <c r="E5" t="s">
        <v>113</v>
      </c>
      <c r="F5" t="s">
        <v>114</v>
      </c>
      <c r="G5" t="s">
        <v>115</v>
      </c>
      <c r="I5" t="s">
        <v>1364</v>
      </c>
      <c r="J5" t="s">
        <v>118</v>
      </c>
      <c r="K5" t="s">
        <v>119</v>
      </c>
      <c r="L5" t="s">
        <v>120</v>
      </c>
      <c r="M5" t="s">
        <v>121</v>
      </c>
      <c r="N5" t="s">
        <v>199</v>
      </c>
      <c r="O5" t="s">
        <v>6</v>
      </c>
      <c r="P5" t="s">
        <v>52</v>
      </c>
      <c r="Q5" t="s">
        <v>123</v>
      </c>
      <c r="S5" t="s">
        <v>168</v>
      </c>
      <c r="T5" t="s">
        <v>1113</v>
      </c>
      <c r="W5" t="s">
        <v>429</v>
      </c>
      <c r="X5" t="s">
        <v>1408</v>
      </c>
      <c r="Z5" t="s">
        <v>1171</v>
      </c>
      <c r="AA5" t="s">
        <v>327</v>
      </c>
    </row>
    <row r="6" spans="1:27">
      <c r="A6" t="s">
        <v>1424</v>
      </c>
      <c r="B6" s="1">
        <v>41481</v>
      </c>
      <c r="C6" t="s">
        <v>111</v>
      </c>
      <c r="D6" t="s">
        <v>112</v>
      </c>
      <c r="E6" t="s">
        <v>113</v>
      </c>
      <c r="F6" t="s">
        <v>114</v>
      </c>
      <c r="G6" t="s">
        <v>115</v>
      </c>
      <c r="I6" t="s">
        <v>1405</v>
      </c>
      <c r="J6" t="s">
        <v>118</v>
      </c>
      <c r="K6" t="s">
        <v>119</v>
      </c>
      <c r="L6" t="s">
        <v>120</v>
      </c>
      <c r="M6" t="s">
        <v>121</v>
      </c>
      <c r="N6" t="s">
        <v>199</v>
      </c>
      <c r="O6" t="s">
        <v>6</v>
      </c>
      <c r="P6" t="s">
        <v>52</v>
      </c>
      <c r="Q6" t="s">
        <v>123</v>
      </c>
      <c r="S6" t="s">
        <v>168</v>
      </c>
      <c r="T6" t="s">
        <v>1113</v>
      </c>
      <c r="W6" t="s">
        <v>429</v>
      </c>
      <c r="X6" t="s">
        <v>1408</v>
      </c>
      <c r="Z6" t="s">
        <v>943</v>
      </c>
      <c r="AA6" t="s">
        <v>327</v>
      </c>
    </row>
    <row r="7" spans="1:27">
      <c r="A7" t="s">
        <v>1425</v>
      </c>
      <c r="B7" s="1">
        <v>41481</v>
      </c>
      <c r="C7" t="s">
        <v>111</v>
      </c>
      <c r="D7" t="s">
        <v>112</v>
      </c>
      <c r="E7" t="s">
        <v>113</v>
      </c>
      <c r="F7" t="s">
        <v>114</v>
      </c>
      <c r="G7" t="s">
        <v>115</v>
      </c>
      <c r="I7" t="s">
        <v>1426</v>
      </c>
      <c r="J7" t="s">
        <v>118</v>
      </c>
      <c r="K7" t="s">
        <v>119</v>
      </c>
      <c r="L7" t="s">
        <v>120</v>
      </c>
      <c r="M7" t="s">
        <v>121</v>
      </c>
      <c r="N7" t="s">
        <v>199</v>
      </c>
      <c r="O7" t="s">
        <v>6</v>
      </c>
      <c r="P7" t="s">
        <v>52</v>
      </c>
      <c r="Q7" t="s">
        <v>123</v>
      </c>
      <c r="S7" t="s">
        <v>168</v>
      </c>
      <c r="T7" t="s">
        <v>1113</v>
      </c>
      <c r="W7" t="s">
        <v>429</v>
      </c>
      <c r="X7" t="s">
        <v>1408</v>
      </c>
      <c r="Z7" t="s">
        <v>431</v>
      </c>
      <c r="AA7" t="s">
        <v>327</v>
      </c>
    </row>
    <row r="8" spans="1:27">
      <c r="A8" t="s">
        <v>1412</v>
      </c>
      <c r="B8" s="1">
        <v>41481</v>
      </c>
      <c r="C8" t="s">
        <v>111</v>
      </c>
      <c r="D8" t="s">
        <v>112</v>
      </c>
      <c r="E8" t="s">
        <v>113</v>
      </c>
      <c r="F8" t="s">
        <v>114</v>
      </c>
      <c r="G8" t="s">
        <v>115</v>
      </c>
      <c r="I8" t="s">
        <v>1413</v>
      </c>
      <c r="J8" t="s">
        <v>118</v>
      </c>
      <c r="K8" t="s">
        <v>119</v>
      </c>
      <c r="L8" t="s">
        <v>120</v>
      </c>
      <c r="M8" t="s">
        <v>121</v>
      </c>
      <c r="N8" t="s">
        <v>199</v>
      </c>
      <c r="O8" t="s">
        <v>10</v>
      </c>
      <c r="P8" t="s">
        <v>52</v>
      </c>
      <c r="Q8" t="s">
        <v>123</v>
      </c>
      <c r="S8" t="s">
        <v>168</v>
      </c>
      <c r="T8" t="s">
        <v>1113</v>
      </c>
      <c r="W8" t="s">
        <v>429</v>
      </c>
      <c r="X8" t="s">
        <v>1408</v>
      </c>
      <c r="Z8" t="s">
        <v>281</v>
      </c>
      <c r="AA8" t="s">
        <v>327</v>
      </c>
    </row>
    <row r="9" spans="1:27">
      <c r="A9" t="s">
        <v>1414</v>
      </c>
      <c r="B9" s="1">
        <v>41481</v>
      </c>
      <c r="C9" t="s">
        <v>111</v>
      </c>
      <c r="D9" t="s">
        <v>112</v>
      </c>
      <c r="E9" t="s">
        <v>113</v>
      </c>
      <c r="F9" t="s">
        <v>114</v>
      </c>
      <c r="G9" t="s">
        <v>115</v>
      </c>
      <c r="I9" t="s">
        <v>1415</v>
      </c>
      <c r="J9" t="s">
        <v>118</v>
      </c>
      <c r="K9" t="s">
        <v>119</v>
      </c>
      <c r="L9" t="s">
        <v>120</v>
      </c>
      <c r="M9" t="s">
        <v>121</v>
      </c>
      <c r="N9" t="s">
        <v>199</v>
      </c>
      <c r="O9" t="s">
        <v>10</v>
      </c>
      <c r="P9" t="s">
        <v>52</v>
      </c>
      <c r="Q9" t="s">
        <v>123</v>
      </c>
      <c r="S9" t="s">
        <v>168</v>
      </c>
      <c r="T9" t="s">
        <v>1113</v>
      </c>
      <c r="W9" t="s">
        <v>429</v>
      </c>
      <c r="X9" t="s">
        <v>1408</v>
      </c>
      <c r="Z9" t="s">
        <v>218</v>
      </c>
      <c r="AA9" t="s">
        <v>327</v>
      </c>
    </row>
    <row r="10" spans="1:27">
      <c r="A10" t="s">
        <v>1418</v>
      </c>
      <c r="B10" s="1">
        <v>41481</v>
      </c>
      <c r="C10" t="s">
        <v>111</v>
      </c>
      <c r="D10" t="s">
        <v>112</v>
      </c>
      <c r="E10" t="s">
        <v>113</v>
      </c>
      <c r="F10" t="s">
        <v>114</v>
      </c>
      <c r="G10" t="s">
        <v>115</v>
      </c>
      <c r="I10" t="s">
        <v>1419</v>
      </c>
      <c r="J10" t="s">
        <v>118</v>
      </c>
      <c r="K10" t="s">
        <v>119</v>
      </c>
      <c r="L10" t="s">
        <v>120</v>
      </c>
      <c r="M10" t="s">
        <v>121</v>
      </c>
      <c r="N10" t="s">
        <v>199</v>
      </c>
      <c r="O10" t="s">
        <v>10</v>
      </c>
      <c r="P10" t="s">
        <v>52</v>
      </c>
      <c r="Q10" t="s">
        <v>123</v>
      </c>
      <c r="S10" t="s">
        <v>168</v>
      </c>
      <c r="T10" t="s">
        <v>1113</v>
      </c>
      <c r="W10" t="s">
        <v>429</v>
      </c>
      <c r="X10" t="s">
        <v>1408</v>
      </c>
      <c r="Z10" t="s">
        <v>202</v>
      </c>
      <c r="AA10" t="s">
        <v>327</v>
      </c>
    </row>
    <row r="11" spans="1:27">
      <c r="A11" t="s">
        <v>1427</v>
      </c>
      <c r="B11" s="1">
        <v>41481</v>
      </c>
      <c r="C11" t="s">
        <v>111</v>
      </c>
      <c r="D11" t="s">
        <v>112</v>
      </c>
      <c r="E11" t="s">
        <v>113</v>
      </c>
      <c r="F11" t="s">
        <v>114</v>
      </c>
      <c r="G11" t="s">
        <v>115</v>
      </c>
      <c r="I11" t="s">
        <v>1428</v>
      </c>
      <c r="J11" t="s">
        <v>118</v>
      </c>
      <c r="K11" t="s">
        <v>119</v>
      </c>
      <c r="L11" t="s">
        <v>120</v>
      </c>
      <c r="M11" t="s">
        <v>121</v>
      </c>
      <c r="N11" t="s">
        <v>199</v>
      </c>
      <c r="O11" t="s">
        <v>10</v>
      </c>
      <c r="P11" t="s">
        <v>52</v>
      </c>
      <c r="Q11" t="s">
        <v>123</v>
      </c>
      <c r="S11" t="s">
        <v>168</v>
      </c>
      <c r="T11" t="s">
        <v>1113</v>
      </c>
      <c r="W11" t="s">
        <v>429</v>
      </c>
      <c r="X11" t="s">
        <v>1408</v>
      </c>
      <c r="Z11" t="s">
        <v>292</v>
      </c>
      <c r="AA11" t="s">
        <v>327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3.xml><?xml version="1.0" encoding="utf-8"?>
<worksheet xmlns="http://schemas.openxmlformats.org/spreadsheetml/2006/main" xmlns:r="http://schemas.openxmlformats.org/officeDocument/2006/relationships">
  <dimension ref="A1:AA14"/>
  <sheetViews>
    <sheetView workbookViewId="0">
      <selection activeCell="I3" sqref="I3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1429</v>
      </c>
      <c r="B2" s="1">
        <v>41482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H2" t="s">
        <v>176</v>
      </c>
      <c r="I2" t="s">
        <v>1430</v>
      </c>
      <c r="J2" t="s">
        <v>118</v>
      </c>
      <c r="K2" t="s">
        <v>119</v>
      </c>
      <c r="L2" t="s">
        <v>120</v>
      </c>
      <c r="M2" t="s">
        <v>121</v>
      </c>
      <c r="N2" t="s">
        <v>122</v>
      </c>
      <c r="P2" t="s">
        <v>53</v>
      </c>
      <c r="Q2" t="s">
        <v>246</v>
      </c>
      <c r="R2" t="s">
        <v>632</v>
      </c>
      <c r="S2" t="s">
        <v>248</v>
      </c>
      <c r="T2" t="s">
        <v>1431</v>
      </c>
      <c r="U2" t="s">
        <v>127</v>
      </c>
      <c r="V2" t="s">
        <v>128</v>
      </c>
      <c r="W2" t="s">
        <v>1432</v>
      </c>
      <c r="X2" t="s">
        <v>1433</v>
      </c>
      <c r="Y2" t="s">
        <v>128</v>
      </c>
      <c r="Z2" t="s">
        <v>985</v>
      </c>
      <c r="AA2" t="s">
        <v>219</v>
      </c>
    </row>
    <row r="3" spans="1:27">
      <c r="A3" t="s">
        <v>1434</v>
      </c>
      <c r="B3" s="1">
        <v>41482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H3" t="s">
        <v>116</v>
      </c>
      <c r="I3" t="s">
        <v>1435</v>
      </c>
      <c r="J3" t="s">
        <v>118</v>
      </c>
      <c r="K3" t="s">
        <v>119</v>
      </c>
      <c r="L3" t="s">
        <v>120</v>
      </c>
      <c r="M3" t="s">
        <v>121</v>
      </c>
      <c r="N3" t="s">
        <v>122</v>
      </c>
      <c r="P3" t="s">
        <v>53</v>
      </c>
      <c r="Q3" t="s">
        <v>586</v>
      </c>
      <c r="R3" t="s">
        <v>135</v>
      </c>
      <c r="S3" t="s">
        <v>168</v>
      </c>
      <c r="T3" t="s">
        <v>126</v>
      </c>
      <c r="U3" t="s">
        <v>145</v>
      </c>
      <c r="V3" t="s">
        <v>128</v>
      </c>
      <c r="W3" t="s">
        <v>429</v>
      </c>
      <c r="X3" t="s">
        <v>1433</v>
      </c>
      <c r="Y3" t="s">
        <v>128</v>
      </c>
      <c r="Z3" t="s">
        <v>1110</v>
      </c>
      <c r="AA3" t="s">
        <v>327</v>
      </c>
    </row>
    <row r="4" spans="1:27">
      <c r="A4" t="s">
        <v>1307</v>
      </c>
      <c r="B4" s="1">
        <v>41482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H4" t="s">
        <v>116</v>
      </c>
      <c r="I4" t="s">
        <v>1308</v>
      </c>
      <c r="J4" t="s">
        <v>118</v>
      </c>
      <c r="K4" t="s">
        <v>119</v>
      </c>
      <c r="L4" t="s">
        <v>120</v>
      </c>
      <c r="M4" t="s">
        <v>121</v>
      </c>
      <c r="N4" t="s">
        <v>122</v>
      </c>
      <c r="P4" t="s">
        <v>53</v>
      </c>
      <c r="Q4" t="s">
        <v>246</v>
      </c>
      <c r="R4" t="s">
        <v>1406</v>
      </c>
      <c r="S4" t="s">
        <v>143</v>
      </c>
      <c r="T4" t="s">
        <v>1309</v>
      </c>
      <c r="U4" t="s">
        <v>155</v>
      </c>
      <c r="V4" t="s">
        <v>128</v>
      </c>
      <c r="W4" t="s">
        <v>640</v>
      </c>
      <c r="X4" t="s">
        <v>1311</v>
      </c>
      <c r="Y4" t="s">
        <v>128</v>
      </c>
      <c r="Z4" t="s">
        <v>156</v>
      </c>
      <c r="AA4" t="s">
        <v>138</v>
      </c>
    </row>
    <row r="5" spans="1:27">
      <c r="A5" t="s">
        <v>1436</v>
      </c>
      <c r="B5" s="1">
        <v>41482</v>
      </c>
      <c r="C5" t="s">
        <v>111</v>
      </c>
      <c r="D5" t="s">
        <v>112</v>
      </c>
      <c r="E5" t="s">
        <v>113</v>
      </c>
      <c r="F5" t="s">
        <v>114</v>
      </c>
      <c r="G5" t="s">
        <v>115</v>
      </c>
      <c r="I5" t="s">
        <v>1437</v>
      </c>
      <c r="J5" t="s">
        <v>118</v>
      </c>
      <c r="K5" t="s">
        <v>119</v>
      </c>
      <c r="L5" t="s">
        <v>120</v>
      </c>
      <c r="M5" t="s">
        <v>121</v>
      </c>
      <c r="N5" t="s">
        <v>419</v>
      </c>
      <c r="P5" t="s">
        <v>53</v>
      </c>
      <c r="Q5" t="s">
        <v>615</v>
      </c>
      <c r="S5" t="s">
        <v>295</v>
      </c>
      <c r="T5" t="s">
        <v>241</v>
      </c>
      <c r="W5" t="s">
        <v>1319</v>
      </c>
      <c r="X5" t="s">
        <v>1433</v>
      </c>
      <c r="Z5" t="s">
        <v>350</v>
      </c>
      <c r="AA5" t="s">
        <v>138</v>
      </c>
    </row>
    <row r="6" spans="1:27">
      <c r="A6" t="s">
        <v>1438</v>
      </c>
      <c r="B6" s="1">
        <v>41482</v>
      </c>
      <c r="C6" t="s">
        <v>111</v>
      </c>
      <c r="D6" t="s">
        <v>112</v>
      </c>
      <c r="E6" t="s">
        <v>113</v>
      </c>
      <c r="F6" t="s">
        <v>114</v>
      </c>
      <c r="G6" t="s">
        <v>115</v>
      </c>
      <c r="I6" t="s">
        <v>1439</v>
      </c>
      <c r="J6" t="s">
        <v>118</v>
      </c>
      <c r="K6" t="s">
        <v>119</v>
      </c>
      <c r="L6" t="s">
        <v>120</v>
      </c>
      <c r="M6" t="s">
        <v>121</v>
      </c>
      <c r="N6" t="s">
        <v>199</v>
      </c>
      <c r="O6" t="s">
        <v>10</v>
      </c>
      <c r="P6" t="s">
        <v>52</v>
      </c>
      <c r="Q6" t="s">
        <v>123</v>
      </c>
      <c r="S6" t="s">
        <v>168</v>
      </c>
      <c r="T6" t="s">
        <v>1113</v>
      </c>
      <c r="W6" t="s">
        <v>429</v>
      </c>
      <c r="X6" t="s">
        <v>1433</v>
      </c>
      <c r="Z6" t="s">
        <v>131</v>
      </c>
      <c r="AA6" t="s">
        <v>327</v>
      </c>
    </row>
    <row r="7" spans="1:27">
      <c r="A7" t="s">
        <v>1440</v>
      </c>
      <c r="B7" s="1">
        <v>41482</v>
      </c>
      <c r="C7" t="s">
        <v>111</v>
      </c>
      <c r="D7" t="s">
        <v>112</v>
      </c>
      <c r="E7" t="s">
        <v>113</v>
      </c>
      <c r="F7" t="s">
        <v>114</v>
      </c>
      <c r="G7" t="s">
        <v>115</v>
      </c>
      <c r="I7" t="s">
        <v>1441</v>
      </c>
      <c r="J7" t="s">
        <v>118</v>
      </c>
      <c r="K7" t="s">
        <v>119</v>
      </c>
      <c r="L7" t="s">
        <v>120</v>
      </c>
      <c r="M7" t="s">
        <v>121</v>
      </c>
      <c r="N7" t="s">
        <v>199</v>
      </c>
      <c r="O7" t="s">
        <v>10</v>
      </c>
      <c r="P7" t="s">
        <v>53</v>
      </c>
      <c r="Q7" t="s">
        <v>246</v>
      </c>
      <c r="S7" t="s">
        <v>248</v>
      </c>
      <c r="T7" t="s">
        <v>1431</v>
      </c>
      <c r="W7" t="s">
        <v>1432</v>
      </c>
      <c r="X7" t="s">
        <v>1433</v>
      </c>
      <c r="Z7" t="s">
        <v>251</v>
      </c>
      <c r="AA7" t="s">
        <v>219</v>
      </c>
    </row>
    <row r="8" spans="1:27">
      <c r="A8" t="s">
        <v>1442</v>
      </c>
      <c r="B8" s="1">
        <v>41482</v>
      </c>
      <c r="C8" t="s">
        <v>111</v>
      </c>
      <c r="D8" t="s">
        <v>112</v>
      </c>
      <c r="E8" t="s">
        <v>113</v>
      </c>
      <c r="F8" t="s">
        <v>114</v>
      </c>
      <c r="G8" t="s">
        <v>115</v>
      </c>
      <c r="I8" t="s">
        <v>1443</v>
      </c>
      <c r="J8" t="s">
        <v>118</v>
      </c>
      <c r="K8" t="s">
        <v>119</v>
      </c>
      <c r="L8" t="s">
        <v>120</v>
      </c>
      <c r="M8" t="s">
        <v>121</v>
      </c>
      <c r="N8" t="s">
        <v>199</v>
      </c>
      <c r="O8" t="s">
        <v>3</v>
      </c>
      <c r="P8" t="s">
        <v>52</v>
      </c>
      <c r="Q8" t="s">
        <v>123</v>
      </c>
      <c r="S8" t="s">
        <v>168</v>
      </c>
      <c r="T8" t="s">
        <v>1113</v>
      </c>
      <c r="W8" t="s">
        <v>429</v>
      </c>
      <c r="X8" t="s">
        <v>1408</v>
      </c>
      <c r="Z8" t="s">
        <v>292</v>
      </c>
      <c r="AA8" t="s">
        <v>327</v>
      </c>
    </row>
    <row r="9" spans="1:27">
      <c r="A9" t="s">
        <v>1444</v>
      </c>
      <c r="B9" s="1">
        <v>41482</v>
      </c>
      <c r="C9" t="s">
        <v>111</v>
      </c>
      <c r="D9" t="s">
        <v>112</v>
      </c>
      <c r="E9" t="s">
        <v>113</v>
      </c>
      <c r="F9" t="s">
        <v>114</v>
      </c>
      <c r="G9" t="s">
        <v>115</v>
      </c>
      <c r="I9" t="s">
        <v>1445</v>
      </c>
      <c r="J9" t="s">
        <v>118</v>
      </c>
      <c r="K9" t="s">
        <v>119</v>
      </c>
      <c r="L9" t="s">
        <v>120</v>
      </c>
      <c r="M9" t="s">
        <v>121</v>
      </c>
      <c r="N9" t="s">
        <v>199</v>
      </c>
      <c r="O9" t="s">
        <v>6</v>
      </c>
      <c r="P9" t="s">
        <v>52</v>
      </c>
      <c r="Q9" t="s">
        <v>123</v>
      </c>
      <c r="S9" t="s">
        <v>168</v>
      </c>
      <c r="T9" t="s">
        <v>1113</v>
      </c>
      <c r="W9" t="s">
        <v>429</v>
      </c>
      <c r="X9" t="s">
        <v>1408</v>
      </c>
      <c r="Z9" t="s">
        <v>156</v>
      </c>
      <c r="AA9" t="s">
        <v>327</v>
      </c>
    </row>
    <row r="10" spans="1:27">
      <c r="A10" t="s">
        <v>1315</v>
      </c>
      <c r="B10" s="1">
        <v>41482</v>
      </c>
      <c r="C10" t="s">
        <v>111</v>
      </c>
      <c r="D10" t="s">
        <v>112</v>
      </c>
      <c r="E10" t="s">
        <v>113</v>
      </c>
      <c r="F10" t="s">
        <v>114</v>
      </c>
      <c r="G10" t="s">
        <v>115</v>
      </c>
      <c r="I10" t="s">
        <v>1316</v>
      </c>
      <c r="J10" t="s">
        <v>118</v>
      </c>
      <c r="K10" t="s">
        <v>119</v>
      </c>
      <c r="L10" t="s">
        <v>120</v>
      </c>
      <c r="M10" t="s">
        <v>121</v>
      </c>
      <c r="N10" t="s">
        <v>199</v>
      </c>
      <c r="O10" t="s">
        <v>10</v>
      </c>
      <c r="P10" t="s">
        <v>53</v>
      </c>
      <c r="Q10" t="s">
        <v>1143</v>
      </c>
      <c r="S10" t="s">
        <v>143</v>
      </c>
      <c r="T10" t="s">
        <v>616</v>
      </c>
      <c r="W10" t="s">
        <v>1446</v>
      </c>
      <c r="X10" t="s">
        <v>1318</v>
      </c>
      <c r="Z10" t="s">
        <v>465</v>
      </c>
      <c r="AA10" t="s">
        <v>1400</v>
      </c>
    </row>
    <row r="11" spans="1:27">
      <c r="A11" t="s">
        <v>1447</v>
      </c>
      <c r="B11" s="1">
        <v>41482</v>
      </c>
      <c r="C11" t="s">
        <v>111</v>
      </c>
      <c r="D11" t="s">
        <v>112</v>
      </c>
      <c r="E11" t="s">
        <v>113</v>
      </c>
      <c r="F11" t="s">
        <v>114</v>
      </c>
      <c r="G11" t="s">
        <v>115</v>
      </c>
      <c r="I11" t="s">
        <v>1448</v>
      </c>
      <c r="J11" t="s">
        <v>118</v>
      </c>
      <c r="K11" t="s">
        <v>119</v>
      </c>
      <c r="L11" t="s">
        <v>120</v>
      </c>
      <c r="M11" t="s">
        <v>121</v>
      </c>
      <c r="N11" t="s">
        <v>199</v>
      </c>
      <c r="O11" t="s">
        <v>6</v>
      </c>
      <c r="P11" t="s">
        <v>52</v>
      </c>
      <c r="Q11" t="s">
        <v>123</v>
      </c>
      <c r="S11" t="s">
        <v>168</v>
      </c>
      <c r="T11" t="s">
        <v>1113</v>
      </c>
      <c r="W11" t="s">
        <v>429</v>
      </c>
      <c r="X11" t="s">
        <v>1433</v>
      </c>
      <c r="Z11" t="s">
        <v>152</v>
      </c>
      <c r="AA11" t="s">
        <v>327</v>
      </c>
    </row>
    <row r="12" spans="1:27">
      <c r="A12" t="s">
        <v>1449</v>
      </c>
      <c r="B12" s="1">
        <v>41482</v>
      </c>
      <c r="C12" t="s">
        <v>111</v>
      </c>
      <c r="D12" t="s">
        <v>112</v>
      </c>
      <c r="E12" t="s">
        <v>113</v>
      </c>
      <c r="F12" t="s">
        <v>114</v>
      </c>
      <c r="G12" t="s">
        <v>115</v>
      </c>
      <c r="I12" t="s">
        <v>1450</v>
      </c>
      <c r="J12" t="s">
        <v>118</v>
      </c>
      <c r="K12" t="s">
        <v>119</v>
      </c>
      <c r="L12" t="s">
        <v>120</v>
      </c>
      <c r="M12" t="s">
        <v>121</v>
      </c>
      <c r="N12" t="s">
        <v>199</v>
      </c>
      <c r="O12" t="s">
        <v>7</v>
      </c>
      <c r="P12" t="s">
        <v>53</v>
      </c>
      <c r="Q12" t="s">
        <v>615</v>
      </c>
      <c r="S12" t="s">
        <v>143</v>
      </c>
      <c r="T12" t="s">
        <v>1451</v>
      </c>
      <c r="W12" t="s">
        <v>1452</v>
      </c>
      <c r="X12" t="s">
        <v>1433</v>
      </c>
      <c r="Z12" t="s">
        <v>131</v>
      </c>
      <c r="AA12" t="s">
        <v>138</v>
      </c>
    </row>
    <row r="13" spans="1:27">
      <c r="A13" t="s">
        <v>1453</v>
      </c>
      <c r="B13" s="1">
        <v>41482</v>
      </c>
      <c r="C13" t="s">
        <v>111</v>
      </c>
      <c r="D13" t="s">
        <v>112</v>
      </c>
      <c r="E13" t="s">
        <v>113</v>
      </c>
      <c r="F13" t="s">
        <v>114</v>
      </c>
      <c r="G13" t="s">
        <v>115</v>
      </c>
      <c r="I13" t="s">
        <v>1454</v>
      </c>
      <c r="J13" t="s">
        <v>118</v>
      </c>
      <c r="K13" t="s">
        <v>119</v>
      </c>
      <c r="L13" t="s">
        <v>120</v>
      </c>
      <c r="M13" t="s">
        <v>121</v>
      </c>
      <c r="N13" t="s">
        <v>199</v>
      </c>
      <c r="O13" t="s">
        <v>6</v>
      </c>
      <c r="P13" t="s">
        <v>52</v>
      </c>
      <c r="Q13" t="s">
        <v>123</v>
      </c>
      <c r="S13" t="s">
        <v>143</v>
      </c>
      <c r="T13" t="s">
        <v>272</v>
      </c>
      <c r="W13" t="s">
        <v>273</v>
      </c>
      <c r="X13" t="s">
        <v>1433</v>
      </c>
      <c r="Z13" t="s">
        <v>1455</v>
      </c>
      <c r="AA13" t="s">
        <v>138</v>
      </c>
    </row>
    <row r="14" spans="1:27">
      <c r="A14" t="s">
        <v>1456</v>
      </c>
      <c r="B14" s="1">
        <v>41482</v>
      </c>
      <c r="C14" t="s">
        <v>111</v>
      </c>
      <c r="D14" t="s">
        <v>112</v>
      </c>
      <c r="E14" t="s">
        <v>113</v>
      </c>
      <c r="F14" t="s">
        <v>114</v>
      </c>
      <c r="G14" t="s">
        <v>115</v>
      </c>
      <c r="I14" t="s">
        <v>1457</v>
      </c>
      <c r="J14" t="s">
        <v>118</v>
      </c>
      <c r="K14" t="s">
        <v>119</v>
      </c>
      <c r="L14" t="s">
        <v>120</v>
      </c>
      <c r="M14" t="s">
        <v>121</v>
      </c>
      <c r="N14" t="s">
        <v>199</v>
      </c>
      <c r="O14" t="s">
        <v>10</v>
      </c>
      <c r="P14" t="s">
        <v>52</v>
      </c>
      <c r="Q14" t="s">
        <v>123</v>
      </c>
      <c r="S14" t="s">
        <v>168</v>
      </c>
      <c r="T14" t="s">
        <v>1113</v>
      </c>
      <c r="W14" t="s">
        <v>429</v>
      </c>
      <c r="X14" t="s">
        <v>1408</v>
      </c>
      <c r="Z14" t="s">
        <v>148</v>
      </c>
      <c r="AA14" t="s">
        <v>327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4.xml><?xml version="1.0" encoding="utf-8"?>
<worksheet xmlns="http://schemas.openxmlformats.org/spreadsheetml/2006/main" xmlns:r="http://schemas.openxmlformats.org/officeDocument/2006/relationships">
  <dimension ref="A1:AA10"/>
  <sheetViews>
    <sheetView workbookViewId="0">
      <selection activeCell="I2" sqref="I2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1442</v>
      </c>
      <c r="B2" s="1">
        <v>41482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I2" t="s">
        <v>1443</v>
      </c>
      <c r="J2" t="s">
        <v>118</v>
      </c>
      <c r="K2" t="s">
        <v>119</v>
      </c>
      <c r="L2" t="s">
        <v>120</v>
      </c>
      <c r="M2" t="s">
        <v>121</v>
      </c>
      <c r="N2" t="s">
        <v>199</v>
      </c>
      <c r="O2" t="s">
        <v>3</v>
      </c>
      <c r="P2" t="s">
        <v>52</v>
      </c>
      <c r="Q2" t="s">
        <v>123</v>
      </c>
      <c r="S2" t="s">
        <v>168</v>
      </c>
      <c r="T2" t="s">
        <v>1113</v>
      </c>
      <c r="W2" t="s">
        <v>429</v>
      </c>
      <c r="X2" t="s">
        <v>1408</v>
      </c>
      <c r="Z2" t="s">
        <v>292</v>
      </c>
      <c r="AA2" t="s">
        <v>327</v>
      </c>
    </row>
    <row r="3" spans="1:27">
      <c r="A3" t="s">
        <v>1444</v>
      </c>
      <c r="B3" s="1">
        <v>41482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I3" t="s">
        <v>1445</v>
      </c>
      <c r="J3" t="s">
        <v>118</v>
      </c>
      <c r="K3" t="s">
        <v>119</v>
      </c>
      <c r="L3" t="s">
        <v>120</v>
      </c>
      <c r="M3" t="s">
        <v>121</v>
      </c>
      <c r="N3" t="s">
        <v>199</v>
      </c>
      <c r="O3" t="s">
        <v>6</v>
      </c>
      <c r="P3" t="s">
        <v>52</v>
      </c>
      <c r="Q3" t="s">
        <v>123</v>
      </c>
      <c r="S3" t="s">
        <v>168</v>
      </c>
      <c r="T3" t="s">
        <v>1113</v>
      </c>
      <c r="W3" t="s">
        <v>429</v>
      </c>
      <c r="X3" t="s">
        <v>1408</v>
      </c>
      <c r="Z3" t="s">
        <v>156</v>
      </c>
      <c r="AA3" t="s">
        <v>327</v>
      </c>
    </row>
    <row r="4" spans="1:27">
      <c r="A4" t="s">
        <v>1447</v>
      </c>
      <c r="B4" s="1">
        <v>41482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I4" t="s">
        <v>1448</v>
      </c>
      <c r="J4" t="s">
        <v>118</v>
      </c>
      <c r="K4" t="s">
        <v>119</v>
      </c>
      <c r="L4" t="s">
        <v>120</v>
      </c>
      <c r="M4" t="s">
        <v>121</v>
      </c>
      <c r="N4" t="s">
        <v>199</v>
      </c>
      <c r="O4" t="s">
        <v>6</v>
      </c>
      <c r="P4" t="s">
        <v>52</v>
      </c>
      <c r="Q4" t="s">
        <v>123</v>
      </c>
      <c r="S4" t="s">
        <v>168</v>
      </c>
      <c r="T4" t="s">
        <v>1113</v>
      </c>
      <c r="W4" t="s">
        <v>429</v>
      </c>
      <c r="X4" t="s">
        <v>1433</v>
      </c>
      <c r="Z4" t="s">
        <v>152</v>
      </c>
      <c r="AA4" t="s">
        <v>327</v>
      </c>
    </row>
    <row r="5" spans="1:27">
      <c r="A5" t="s">
        <v>1453</v>
      </c>
      <c r="B5" s="1">
        <v>41482</v>
      </c>
      <c r="C5" t="s">
        <v>111</v>
      </c>
      <c r="D5" t="s">
        <v>112</v>
      </c>
      <c r="E5" t="s">
        <v>113</v>
      </c>
      <c r="F5" t="s">
        <v>114</v>
      </c>
      <c r="G5" t="s">
        <v>115</v>
      </c>
      <c r="I5" t="s">
        <v>1454</v>
      </c>
      <c r="J5" t="s">
        <v>118</v>
      </c>
      <c r="K5" t="s">
        <v>119</v>
      </c>
      <c r="L5" t="s">
        <v>120</v>
      </c>
      <c r="M5" t="s">
        <v>121</v>
      </c>
      <c r="N5" t="s">
        <v>199</v>
      </c>
      <c r="O5" t="s">
        <v>6</v>
      </c>
      <c r="P5" t="s">
        <v>52</v>
      </c>
      <c r="Q5" t="s">
        <v>123</v>
      </c>
      <c r="S5" t="s">
        <v>143</v>
      </c>
      <c r="T5" t="s">
        <v>272</v>
      </c>
      <c r="W5" t="s">
        <v>273</v>
      </c>
      <c r="X5" t="s">
        <v>1433</v>
      </c>
      <c r="Z5" t="s">
        <v>1455</v>
      </c>
      <c r="AA5" t="s">
        <v>138</v>
      </c>
    </row>
    <row r="6" spans="1:27">
      <c r="A6" t="s">
        <v>1449</v>
      </c>
      <c r="B6" s="1">
        <v>41482</v>
      </c>
      <c r="C6" t="s">
        <v>111</v>
      </c>
      <c r="D6" t="s">
        <v>112</v>
      </c>
      <c r="E6" t="s">
        <v>113</v>
      </c>
      <c r="F6" t="s">
        <v>114</v>
      </c>
      <c r="G6" t="s">
        <v>115</v>
      </c>
      <c r="I6" t="s">
        <v>1450</v>
      </c>
      <c r="J6" t="s">
        <v>118</v>
      </c>
      <c r="K6" t="s">
        <v>119</v>
      </c>
      <c r="L6" t="s">
        <v>120</v>
      </c>
      <c r="M6" t="s">
        <v>121</v>
      </c>
      <c r="N6" t="s">
        <v>199</v>
      </c>
      <c r="O6" t="s">
        <v>7</v>
      </c>
      <c r="P6" t="s">
        <v>53</v>
      </c>
      <c r="Q6" t="s">
        <v>615</v>
      </c>
      <c r="S6" t="s">
        <v>143</v>
      </c>
      <c r="T6" t="s">
        <v>1451</v>
      </c>
      <c r="W6" t="s">
        <v>1452</v>
      </c>
      <c r="X6" t="s">
        <v>1433</v>
      </c>
      <c r="Z6" t="s">
        <v>131</v>
      </c>
      <c r="AA6" t="s">
        <v>138</v>
      </c>
    </row>
    <row r="7" spans="1:27">
      <c r="A7" t="s">
        <v>1438</v>
      </c>
      <c r="B7" s="1">
        <v>41482</v>
      </c>
      <c r="C7" t="s">
        <v>111</v>
      </c>
      <c r="D7" t="s">
        <v>112</v>
      </c>
      <c r="E7" t="s">
        <v>113</v>
      </c>
      <c r="F7" t="s">
        <v>114</v>
      </c>
      <c r="G7" t="s">
        <v>115</v>
      </c>
      <c r="I7" t="s">
        <v>1439</v>
      </c>
      <c r="J7" t="s">
        <v>118</v>
      </c>
      <c r="K7" t="s">
        <v>119</v>
      </c>
      <c r="L7" t="s">
        <v>120</v>
      </c>
      <c r="M7" t="s">
        <v>121</v>
      </c>
      <c r="N7" t="s">
        <v>199</v>
      </c>
      <c r="O7" t="s">
        <v>10</v>
      </c>
      <c r="P7" t="s">
        <v>52</v>
      </c>
      <c r="Q7" t="s">
        <v>123</v>
      </c>
      <c r="S7" t="s">
        <v>168</v>
      </c>
      <c r="T7" t="s">
        <v>1113</v>
      </c>
      <c r="W7" t="s">
        <v>429</v>
      </c>
      <c r="X7" t="s">
        <v>1433</v>
      </c>
      <c r="Z7" t="s">
        <v>131</v>
      </c>
      <c r="AA7" t="s">
        <v>327</v>
      </c>
    </row>
    <row r="8" spans="1:27">
      <c r="A8" t="s">
        <v>1440</v>
      </c>
      <c r="B8" s="1">
        <v>41482</v>
      </c>
      <c r="C8" t="s">
        <v>111</v>
      </c>
      <c r="D8" t="s">
        <v>112</v>
      </c>
      <c r="E8" t="s">
        <v>113</v>
      </c>
      <c r="F8" t="s">
        <v>114</v>
      </c>
      <c r="G8" t="s">
        <v>115</v>
      </c>
      <c r="I8" t="s">
        <v>1441</v>
      </c>
      <c r="J8" t="s">
        <v>118</v>
      </c>
      <c r="K8" t="s">
        <v>119</v>
      </c>
      <c r="L8" t="s">
        <v>120</v>
      </c>
      <c r="M8" t="s">
        <v>121</v>
      </c>
      <c r="N8" t="s">
        <v>199</v>
      </c>
      <c r="O8" t="s">
        <v>10</v>
      </c>
      <c r="P8" t="s">
        <v>53</v>
      </c>
      <c r="Q8" t="s">
        <v>246</v>
      </c>
      <c r="S8" t="s">
        <v>248</v>
      </c>
      <c r="T8" t="s">
        <v>1431</v>
      </c>
      <c r="W8" t="s">
        <v>1432</v>
      </c>
      <c r="X8" t="s">
        <v>1433</v>
      </c>
      <c r="Z8" t="s">
        <v>251</v>
      </c>
      <c r="AA8" t="s">
        <v>219</v>
      </c>
    </row>
    <row r="9" spans="1:27">
      <c r="A9" t="s">
        <v>1315</v>
      </c>
      <c r="B9" s="1">
        <v>41482</v>
      </c>
      <c r="C9" t="s">
        <v>111</v>
      </c>
      <c r="D9" t="s">
        <v>112</v>
      </c>
      <c r="E9" t="s">
        <v>113</v>
      </c>
      <c r="F9" t="s">
        <v>114</v>
      </c>
      <c r="G9" t="s">
        <v>115</v>
      </c>
      <c r="I9" t="s">
        <v>1316</v>
      </c>
      <c r="J9" t="s">
        <v>118</v>
      </c>
      <c r="K9" t="s">
        <v>119</v>
      </c>
      <c r="L9" t="s">
        <v>120</v>
      </c>
      <c r="M9" t="s">
        <v>121</v>
      </c>
      <c r="N9" t="s">
        <v>199</v>
      </c>
      <c r="O9" t="s">
        <v>10</v>
      </c>
      <c r="P9" t="s">
        <v>53</v>
      </c>
      <c r="Q9" t="s">
        <v>1143</v>
      </c>
      <c r="S9" t="s">
        <v>143</v>
      </c>
      <c r="T9" t="s">
        <v>616</v>
      </c>
      <c r="W9" t="s">
        <v>1446</v>
      </c>
      <c r="X9" t="s">
        <v>1318</v>
      </c>
      <c r="Z9" t="s">
        <v>465</v>
      </c>
      <c r="AA9" t="s">
        <v>1400</v>
      </c>
    </row>
    <row r="10" spans="1:27">
      <c r="A10" t="s">
        <v>1456</v>
      </c>
      <c r="B10" s="1">
        <v>41482</v>
      </c>
      <c r="C10" t="s">
        <v>111</v>
      </c>
      <c r="D10" t="s">
        <v>112</v>
      </c>
      <c r="E10" t="s">
        <v>113</v>
      </c>
      <c r="F10" t="s">
        <v>114</v>
      </c>
      <c r="G10" t="s">
        <v>115</v>
      </c>
      <c r="I10" t="s">
        <v>1457</v>
      </c>
      <c r="J10" t="s">
        <v>118</v>
      </c>
      <c r="K10" t="s">
        <v>119</v>
      </c>
      <c r="L10" t="s">
        <v>120</v>
      </c>
      <c r="M10" t="s">
        <v>121</v>
      </c>
      <c r="N10" t="s">
        <v>199</v>
      </c>
      <c r="O10" t="s">
        <v>10</v>
      </c>
      <c r="P10" t="s">
        <v>52</v>
      </c>
      <c r="Q10" t="s">
        <v>123</v>
      </c>
      <c r="S10" t="s">
        <v>168</v>
      </c>
      <c r="T10" t="s">
        <v>1113</v>
      </c>
      <c r="W10" t="s">
        <v>429</v>
      </c>
      <c r="X10" t="s">
        <v>1408</v>
      </c>
      <c r="Z10" t="s">
        <v>148</v>
      </c>
      <c r="AA10" t="s">
        <v>327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5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56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57.xml><?xml version="1.0" encoding="utf-8"?>
<worksheet xmlns="http://schemas.openxmlformats.org/spreadsheetml/2006/main" xmlns:r="http://schemas.openxmlformats.org/officeDocument/2006/relationships">
  <dimension ref="A1:AA5"/>
  <sheetViews>
    <sheetView workbookViewId="0">
      <selection sqref="A1:XFD1048576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1458</v>
      </c>
      <c r="B2" s="1">
        <v>41484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H2" t="s">
        <v>116</v>
      </c>
      <c r="I2" t="s">
        <v>1459</v>
      </c>
      <c r="J2" t="s">
        <v>118</v>
      </c>
      <c r="K2" t="s">
        <v>119</v>
      </c>
      <c r="L2" t="s">
        <v>120</v>
      </c>
      <c r="M2" t="s">
        <v>121</v>
      </c>
      <c r="N2" t="s">
        <v>122</v>
      </c>
      <c r="P2" t="s">
        <v>53</v>
      </c>
      <c r="Q2" t="s">
        <v>1460</v>
      </c>
      <c r="R2" t="s">
        <v>135</v>
      </c>
      <c r="S2" t="s">
        <v>143</v>
      </c>
      <c r="T2" t="s">
        <v>927</v>
      </c>
      <c r="U2" t="s">
        <v>127</v>
      </c>
      <c r="V2" t="s">
        <v>128</v>
      </c>
      <c r="W2" t="s">
        <v>928</v>
      </c>
      <c r="X2" t="s">
        <v>1408</v>
      </c>
      <c r="Y2" t="s">
        <v>128</v>
      </c>
      <c r="Z2" t="s">
        <v>281</v>
      </c>
      <c r="AA2" t="s">
        <v>149</v>
      </c>
    </row>
    <row r="3" spans="1:27">
      <c r="A3" t="s">
        <v>1461</v>
      </c>
      <c r="B3" s="1">
        <v>41484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H3" t="s">
        <v>116</v>
      </c>
      <c r="I3" t="s">
        <v>1117</v>
      </c>
      <c r="J3" t="s">
        <v>118</v>
      </c>
      <c r="K3" t="s">
        <v>119</v>
      </c>
      <c r="L3" t="s">
        <v>120</v>
      </c>
      <c r="M3" t="s">
        <v>121</v>
      </c>
      <c r="N3" t="s">
        <v>122</v>
      </c>
      <c r="P3" t="s">
        <v>52</v>
      </c>
      <c r="Q3" t="s">
        <v>123</v>
      </c>
      <c r="R3" t="s">
        <v>135</v>
      </c>
      <c r="S3" t="s">
        <v>168</v>
      </c>
      <c r="T3" t="s">
        <v>169</v>
      </c>
      <c r="U3" t="s">
        <v>127</v>
      </c>
      <c r="V3" t="s">
        <v>128</v>
      </c>
      <c r="W3" t="s">
        <v>1229</v>
      </c>
      <c r="X3" t="s">
        <v>1109</v>
      </c>
      <c r="Y3" t="s">
        <v>128</v>
      </c>
      <c r="Z3" t="s">
        <v>225</v>
      </c>
      <c r="AA3" t="s">
        <v>138</v>
      </c>
    </row>
    <row r="4" spans="1:27">
      <c r="A4" t="s">
        <v>1462</v>
      </c>
      <c r="B4" s="1">
        <v>41484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H4" t="s">
        <v>116</v>
      </c>
      <c r="I4" t="s">
        <v>1463</v>
      </c>
      <c r="J4" t="s">
        <v>118</v>
      </c>
      <c r="K4" t="s">
        <v>119</v>
      </c>
      <c r="L4" t="s">
        <v>120</v>
      </c>
      <c r="M4" t="s">
        <v>121</v>
      </c>
      <c r="N4" t="s">
        <v>122</v>
      </c>
      <c r="P4" t="s">
        <v>53</v>
      </c>
      <c r="Q4" t="s">
        <v>246</v>
      </c>
      <c r="R4" t="s">
        <v>135</v>
      </c>
      <c r="S4" t="s">
        <v>200</v>
      </c>
      <c r="T4" t="s">
        <v>1464</v>
      </c>
      <c r="U4" t="s">
        <v>127</v>
      </c>
      <c r="V4" t="s">
        <v>128</v>
      </c>
      <c r="W4" t="s">
        <v>1465</v>
      </c>
      <c r="X4" t="s">
        <v>1433</v>
      </c>
      <c r="Y4" t="s">
        <v>128</v>
      </c>
      <c r="Z4" t="s">
        <v>137</v>
      </c>
      <c r="AA4" t="s">
        <v>209</v>
      </c>
    </row>
    <row r="5" spans="1:27">
      <c r="A5" t="s">
        <v>1466</v>
      </c>
      <c r="B5" s="1">
        <v>41484</v>
      </c>
      <c r="C5" t="s">
        <v>111</v>
      </c>
      <c r="D5" t="s">
        <v>112</v>
      </c>
      <c r="E5" t="s">
        <v>113</v>
      </c>
      <c r="F5" t="s">
        <v>114</v>
      </c>
      <c r="G5" t="s">
        <v>115</v>
      </c>
      <c r="I5" t="s">
        <v>1467</v>
      </c>
      <c r="J5" t="s">
        <v>118</v>
      </c>
      <c r="K5" t="s">
        <v>119</v>
      </c>
      <c r="L5" t="s">
        <v>120</v>
      </c>
      <c r="M5" t="s">
        <v>121</v>
      </c>
      <c r="N5" t="s">
        <v>199</v>
      </c>
      <c r="O5" t="s">
        <v>4</v>
      </c>
      <c r="P5" t="s">
        <v>54</v>
      </c>
      <c r="Q5" t="s">
        <v>1468</v>
      </c>
      <c r="S5" t="s">
        <v>143</v>
      </c>
      <c r="T5" t="s">
        <v>1469</v>
      </c>
      <c r="W5" t="s">
        <v>1470</v>
      </c>
      <c r="X5" t="s">
        <v>1408</v>
      </c>
      <c r="Z5" t="s">
        <v>148</v>
      </c>
      <c r="AA5" t="s">
        <v>149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8.xml><?xml version="1.0" encoding="utf-8"?>
<worksheet xmlns="http://schemas.openxmlformats.org/spreadsheetml/2006/main" xmlns:r="http://schemas.openxmlformats.org/officeDocument/2006/relationships">
  <dimension ref="A1:AA2"/>
  <sheetViews>
    <sheetView workbookViewId="0">
      <selection activeCell="A3" sqref="A3:XFD4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1466</v>
      </c>
      <c r="B2" s="1">
        <v>41484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I2" t="s">
        <v>1467</v>
      </c>
      <c r="J2" t="s">
        <v>118</v>
      </c>
      <c r="K2" t="s">
        <v>119</v>
      </c>
      <c r="L2" t="s">
        <v>120</v>
      </c>
      <c r="M2" t="s">
        <v>121</v>
      </c>
      <c r="N2" t="s">
        <v>199</v>
      </c>
      <c r="O2" t="s">
        <v>4</v>
      </c>
      <c r="P2" t="s">
        <v>54</v>
      </c>
      <c r="Q2" t="s">
        <v>1468</v>
      </c>
      <c r="S2" t="s">
        <v>143</v>
      </c>
      <c r="T2" t="s">
        <v>1469</v>
      </c>
      <c r="W2" t="s">
        <v>1470</v>
      </c>
      <c r="X2" t="s">
        <v>1408</v>
      </c>
      <c r="Z2" t="s">
        <v>148</v>
      </c>
      <c r="AA2" t="s">
        <v>149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9.xml><?xml version="1.0" encoding="utf-8"?>
<worksheet xmlns="http://schemas.openxmlformats.org/spreadsheetml/2006/main" xmlns:r="http://schemas.openxmlformats.org/officeDocument/2006/relationships">
  <dimension ref="A1:AA12"/>
  <sheetViews>
    <sheetView workbookViewId="0">
      <selection activeCell="I3" sqref="I3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1471</v>
      </c>
      <c r="B2" s="1">
        <v>41485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H2" t="s">
        <v>176</v>
      </c>
      <c r="I2" t="s">
        <v>1472</v>
      </c>
      <c r="J2" t="s">
        <v>118</v>
      </c>
      <c r="K2" t="s">
        <v>119</v>
      </c>
      <c r="L2" t="s">
        <v>120</v>
      </c>
      <c r="M2" t="s">
        <v>121</v>
      </c>
      <c r="N2" t="s">
        <v>122</v>
      </c>
      <c r="P2" t="s">
        <v>53</v>
      </c>
      <c r="Q2" t="s">
        <v>615</v>
      </c>
      <c r="R2" t="s">
        <v>1473</v>
      </c>
      <c r="S2" t="s">
        <v>143</v>
      </c>
      <c r="T2" t="s">
        <v>272</v>
      </c>
      <c r="V2" t="s">
        <v>128</v>
      </c>
      <c r="W2" t="s">
        <v>1474</v>
      </c>
      <c r="X2" t="s">
        <v>1475</v>
      </c>
      <c r="Y2" t="s">
        <v>128</v>
      </c>
      <c r="Z2" t="s">
        <v>621</v>
      </c>
      <c r="AA2" t="s">
        <v>138</v>
      </c>
    </row>
    <row r="3" spans="1:27">
      <c r="A3" t="s">
        <v>1476</v>
      </c>
      <c r="B3" s="1">
        <v>41485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H3" t="s">
        <v>116</v>
      </c>
      <c r="I3" t="s">
        <v>1477</v>
      </c>
      <c r="J3" t="s">
        <v>118</v>
      </c>
      <c r="K3" t="s">
        <v>119</v>
      </c>
      <c r="L3" t="s">
        <v>120</v>
      </c>
      <c r="M3" t="s">
        <v>121</v>
      </c>
      <c r="N3" t="s">
        <v>122</v>
      </c>
      <c r="P3" t="s">
        <v>52</v>
      </c>
      <c r="Q3" t="s">
        <v>123</v>
      </c>
      <c r="R3" t="s">
        <v>135</v>
      </c>
      <c r="S3" t="s">
        <v>143</v>
      </c>
      <c r="T3" t="s">
        <v>1478</v>
      </c>
      <c r="U3" t="s">
        <v>155</v>
      </c>
      <c r="V3" t="s">
        <v>128</v>
      </c>
      <c r="W3" t="s">
        <v>1479</v>
      </c>
      <c r="X3" t="s">
        <v>1480</v>
      </c>
      <c r="Y3" t="s">
        <v>128</v>
      </c>
      <c r="Z3" t="s">
        <v>202</v>
      </c>
      <c r="AA3" t="s">
        <v>138</v>
      </c>
    </row>
    <row r="4" spans="1:27">
      <c r="A4" t="s">
        <v>1481</v>
      </c>
      <c r="B4" s="1">
        <v>41485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H4" t="s">
        <v>116</v>
      </c>
      <c r="I4" t="s">
        <v>1482</v>
      </c>
      <c r="J4" t="s">
        <v>118</v>
      </c>
      <c r="K4" t="s">
        <v>119</v>
      </c>
      <c r="L4" t="s">
        <v>120</v>
      </c>
      <c r="M4" t="s">
        <v>121</v>
      </c>
      <c r="N4" t="s">
        <v>122</v>
      </c>
      <c r="P4" t="s">
        <v>53</v>
      </c>
      <c r="Q4" t="s">
        <v>246</v>
      </c>
      <c r="R4" t="s">
        <v>135</v>
      </c>
      <c r="S4" t="s">
        <v>143</v>
      </c>
      <c r="T4" t="s">
        <v>1483</v>
      </c>
      <c r="U4" t="s">
        <v>155</v>
      </c>
      <c r="V4" t="s">
        <v>128</v>
      </c>
      <c r="W4" t="s">
        <v>602</v>
      </c>
      <c r="X4" t="s">
        <v>1484</v>
      </c>
      <c r="Y4" t="s">
        <v>128</v>
      </c>
      <c r="Z4" t="s">
        <v>321</v>
      </c>
      <c r="AA4" t="s">
        <v>138</v>
      </c>
    </row>
    <row r="5" spans="1:27">
      <c r="A5" t="s">
        <v>1485</v>
      </c>
      <c r="B5" s="1">
        <v>41485</v>
      </c>
      <c r="C5" t="s">
        <v>111</v>
      </c>
      <c r="D5" t="s">
        <v>112</v>
      </c>
      <c r="E5" t="s">
        <v>113</v>
      </c>
      <c r="F5" t="s">
        <v>114</v>
      </c>
      <c r="G5" t="s">
        <v>115</v>
      </c>
      <c r="H5" t="s">
        <v>116</v>
      </c>
      <c r="I5" t="s">
        <v>1486</v>
      </c>
      <c r="J5" t="s">
        <v>118</v>
      </c>
      <c r="K5" t="s">
        <v>119</v>
      </c>
      <c r="L5" t="s">
        <v>120</v>
      </c>
      <c r="M5" t="s">
        <v>121</v>
      </c>
      <c r="N5" t="s">
        <v>122</v>
      </c>
      <c r="P5" t="s">
        <v>52</v>
      </c>
      <c r="Q5" t="s">
        <v>123</v>
      </c>
      <c r="R5" t="s">
        <v>135</v>
      </c>
      <c r="S5" t="s">
        <v>143</v>
      </c>
      <c r="T5" t="s">
        <v>1228</v>
      </c>
      <c r="U5" t="s">
        <v>145</v>
      </c>
      <c r="V5" t="s">
        <v>128</v>
      </c>
      <c r="W5" t="s">
        <v>1229</v>
      </c>
      <c r="X5" t="s">
        <v>1475</v>
      </c>
      <c r="Y5" t="s">
        <v>128</v>
      </c>
      <c r="Z5" t="s">
        <v>148</v>
      </c>
      <c r="AA5" t="s">
        <v>138</v>
      </c>
    </row>
    <row r="6" spans="1:27">
      <c r="A6" t="s">
        <v>1487</v>
      </c>
      <c r="B6" s="1">
        <v>41485</v>
      </c>
      <c r="C6" t="s">
        <v>111</v>
      </c>
      <c r="D6" t="s">
        <v>112</v>
      </c>
      <c r="E6" t="s">
        <v>113</v>
      </c>
      <c r="F6" t="s">
        <v>114</v>
      </c>
      <c r="G6" t="s">
        <v>115</v>
      </c>
      <c r="I6" t="s">
        <v>1488</v>
      </c>
      <c r="J6" t="s">
        <v>118</v>
      </c>
      <c r="K6" t="s">
        <v>119</v>
      </c>
      <c r="L6" t="s">
        <v>120</v>
      </c>
      <c r="M6" t="s">
        <v>121</v>
      </c>
      <c r="N6" t="s">
        <v>199</v>
      </c>
      <c r="O6" t="s">
        <v>7</v>
      </c>
      <c r="P6" t="s">
        <v>52</v>
      </c>
      <c r="Q6" t="s">
        <v>123</v>
      </c>
      <c r="S6" t="s">
        <v>168</v>
      </c>
      <c r="T6" t="s">
        <v>1113</v>
      </c>
      <c r="W6" t="s">
        <v>429</v>
      </c>
      <c r="X6" t="s">
        <v>1475</v>
      </c>
      <c r="Z6" t="s">
        <v>137</v>
      </c>
      <c r="AA6" t="s">
        <v>327</v>
      </c>
    </row>
    <row r="7" spans="1:27">
      <c r="A7" t="s">
        <v>1489</v>
      </c>
      <c r="B7" s="1">
        <v>41485</v>
      </c>
      <c r="C7" t="s">
        <v>111</v>
      </c>
      <c r="D7" t="s">
        <v>112</v>
      </c>
      <c r="E7" t="s">
        <v>113</v>
      </c>
      <c r="F7" t="s">
        <v>114</v>
      </c>
      <c r="G7" t="s">
        <v>115</v>
      </c>
      <c r="I7" t="s">
        <v>1490</v>
      </c>
      <c r="J7" t="s">
        <v>118</v>
      </c>
      <c r="K7" t="s">
        <v>119</v>
      </c>
      <c r="L7" t="s">
        <v>120</v>
      </c>
      <c r="M7" t="s">
        <v>121</v>
      </c>
      <c r="N7" t="s">
        <v>199</v>
      </c>
      <c r="O7" t="s">
        <v>3</v>
      </c>
      <c r="P7" t="s">
        <v>52</v>
      </c>
      <c r="Q7" t="s">
        <v>123</v>
      </c>
      <c r="S7" t="s">
        <v>168</v>
      </c>
      <c r="T7" t="s">
        <v>1113</v>
      </c>
      <c r="W7" t="s">
        <v>1114</v>
      </c>
      <c r="X7" t="s">
        <v>1475</v>
      </c>
      <c r="Z7" t="s">
        <v>337</v>
      </c>
      <c r="AA7" t="s">
        <v>655</v>
      </c>
    </row>
    <row r="8" spans="1:27">
      <c r="A8" t="s">
        <v>1491</v>
      </c>
      <c r="B8" s="1">
        <v>41485</v>
      </c>
      <c r="C8" t="s">
        <v>111</v>
      </c>
      <c r="D8" t="s">
        <v>112</v>
      </c>
      <c r="E8" t="s">
        <v>113</v>
      </c>
      <c r="F8" t="s">
        <v>114</v>
      </c>
      <c r="G8" t="s">
        <v>115</v>
      </c>
      <c r="I8" t="s">
        <v>1492</v>
      </c>
      <c r="J8" t="s">
        <v>118</v>
      </c>
      <c r="K8" t="s">
        <v>119</v>
      </c>
      <c r="L8" t="s">
        <v>120</v>
      </c>
      <c r="M8" t="s">
        <v>121</v>
      </c>
      <c r="N8" t="s">
        <v>199</v>
      </c>
      <c r="O8" t="s">
        <v>10</v>
      </c>
      <c r="P8" t="s">
        <v>52</v>
      </c>
      <c r="Q8" t="s">
        <v>123</v>
      </c>
      <c r="S8" t="s">
        <v>168</v>
      </c>
      <c r="T8" t="s">
        <v>1113</v>
      </c>
      <c r="W8" t="s">
        <v>1114</v>
      </c>
      <c r="X8" t="s">
        <v>1475</v>
      </c>
      <c r="Z8" t="s">
        <v>321</v>
      </c>
      <c r="AA8" t="s">
        <v>655</v>
      </c>
    </row>
    <row r="9" spans="1:27">
      <c r="A9" t="s">
        <v>1493</v>
      </c>
      <c r="B9" s="1">
        <v>41485</v>
      </c>
      <c r="C9" t="s">
        <v>111</v>
      </c>
      <c r="D9" t="s">
        <v>112</v>
      </c>
      <c r="E9" t="s">
        <v>113</v>
      </c>
      <c r="F9" t="s">
        <v>114</v>
      </c>
      <c r="G9" t="s">
        <v>115</v>
      </c>
      <c r="I9" t="s">
        <v>1494</v>
      </c>
      <c r="J9" t="s">
        <v>118</v>
      </c>
      <c r="K9" t="s">
        <v>119</v>
      </c>
      <c r="L9" t="s">
        <v>120</v>
      </c>
      <c r="M9" t="s">
        <v>121</v>
      </c>
      <c r="N9" t="s">
        <v>199</v>
      </c>
      <c r="O9" t="s">
        <v>6</v>
      </c>
      <c r="P9" t="s">
        <v>52</v>
      </c>
      <c r="Q9" t="s">
        <v>123</v>
      </c>
      <c r="S9" t="s">
        <v>168</v>
      </c>
      <c r="T9" t="s">
        <v>1113</v>
      </c>
      <c r="W9" t="s">
        <v>429</v>
      </c>
      <c r="X9" t="s">
        <v>1475</v>
      </c>
      <c r="Z9" t="s">
        <v>1110</v>
      </c>
      <c r="AA9" t="s">
        <v>327</v>
      </c>
    </row>
    <row r="10" spans="1:27">
      <c r="A10" t="s">
        <v>1495</v>
      </c>
      <c r="B10" s="1">
        <v>41485</v>
      </c>
      <c r="C10" t="s">
        <v>111</v>
      </c>
      <c r="D10" t="s">
        <v>112</v>
      </c>
      <c r="E10" t="s">
        <v>113</v>
      </c>
      <c r="F10" t="s">
        <v>114</v>
      </c>
      <c r="G10" t="s">
        <v>115</v>
      </c>
      <c r="I10" t="s">
        <v>206</v>
      </c>
      <c r="J10" t="s">
        <v>118</v>
      </c>
      <c r="K10" t="s">
        <v>119</v>
      </c>
      <c r="L10" t="s">
        <v>120</v>
      </c>
      <c r="M10" t="s">
        <v>121</v>
      </c>
      <c r="N10" t="s">
        <v>199</v>
      </c>
      <c r="O10" t="s">
        <v>3</v>
      </c>
      <c r="P10" t="s">
        <v>52</v>
      </c>
      <c r="Q10" t="s">
        <v>123</v>
      </c>
      <c r="S10" t="s">
        <v>295</v>
      </c>
      <c r="T10" t="s">
        <v>1058</v>
      </c>
      <c r="W10" t="s">
        <v>1059</v>
      </c>
      <c r="X10" t="s">
        <v>1475</v>
      </c>
      <c r="Z10" t="s">
        <v>196</v>
      </c>
      <c r="AA10" t="s">
        <v>268</v>
      </c>
    </row>
    <row r="11" spans="1:27">
      <c r="A11" t="s">
        <v>1496</v>
      </c>
      <c r="B11" s="1">
        <v>41485</v>
      </c>
      <c r="C11" t="s">
        <v>111</v>
      </c>
      <c r="D11" t="s">
        <v>112</v>
      </c>
      <c r="E11" t="s">
        <v>113</v>
      </c>
      <c r="F11" t="s">
        <v>114</v>
      </c>
      <c r="G11" t="s">
        <v>115</v>
      </c>
      <c r="I11" t="s">
        <v>1497</v>
      </c>
      <c r="J11" t="s">
        <v>118</v>
      </c>
      <c r="K11" t="s">
        <v>119</v>
      </c>
      <c r="L11" t="s">
        <v>120</v>
      </c>
      <c r="M11" t="s">
        <v>121</v>
      </c>
      <c r="N11" t="s">
        <v>199</v>
      </c>
      <c r="O11" t="s">
        <v>7</v>
      </c>
      <c r="P11" t="s">
        <v>52</v>
      </c>
      <c r="Q11" t="s">
        <v>123</v>
      </c>
      <c r="S11" t="s">
        <v>168</v>
      </c>
      <c r="T11" t="s">
        <v>1113</v>
      </c>
      <c r="W11" t="s">
        <v>1114</v>
      </c>
      <c r="X11" t="s">
        <v>1475</v>
      </c>
      <c r="Z11" t="s">
        <v>350</v>
      </c>
      <c r="AA11" t="s">
        <v>655</v>
      </c>
    </row>
    <row r="12" spans="1:27">
      <c r="A12" t="s">
        <v>1498</v>
      </c>
      <c r="B12" s="1">
        <v>41485</v>
      </c>
      <c r="C12" t="s">
        <v>111</v>
      </c>
      <c r="D12" t="s">
        <v>112</v>
      </c>
      <c r="E12" t="s">
        <v>113</v>
      </c>
      <c r="F12" t="s">
        <v>114</v>
      </c>
      <c r="G12" t="s">
        <v>115</v>
      </c>
      <c r="I12" t="s">
        <v>1499</v>
      </c>
      <c r="J12" t="s">
        <v>118</v>
      </c>
      <c r="K12" t="s">
        <v>119</v>
      </c>
      <c r="L12" t="s">
        <v>120</v>
      </c>
      <c r="M12" t="s">
        <v>121</v>
      </c>
      <c r="N12" t="s">
        <v>199</v>
      </c>
      <c r="O12" t="s">
        <v>10</v>
      </c>
      <c r="P12" t="s">
        <v>52</v>
      </c>
      <c r="Q12" t="s">
        <v>123</v>
      </c>
      <c r="S12" t="s">
        <v>168</v>
      </c>
      <c r="T12" t="s">
        <v>1113</v>
      </c>
      <c r="W12" t="s">
        <v>1114</v>
      </c>
      <c r="X12" t="s">
        <v>1475</v>
      </c>
      <c r="Z12" t="s">
        <v>1500</v>
      </c>
      <c r="AA12" t="s">
        <v>655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0.xml><?xml version="1.0" encoding="utf-8"?>
<worksheet xmlns="http://schemas.openxmlformats.org/spreadsheetml/2006/main" xmlns:r="http://schemas.openxmlformats.org/officeDocument/2006/relationships">
  <dimension ref="A1:AA8"/>
  <sheetViews>
    <sheetView workbookViewId="0">
      <selection activeCell="I3" sqref="I3"/>
    </sheetView>
  </sheetViews>
  <sheetFormatPr defaultRowHeight="15"/>
  <cols>
    <col min="2" max="2" width="23" customWidth="1"/>
    <col min="3" max="3" width="16.140625" customWidth="1"/>
    <col min="4" max="4" width="13.42578125" customWidth="1"/>
    <col min="5" max="5" width="14.5703125" customWidth="1"/>
    <col min="6" max="6" width="18" customWidth="1"/>
    <col min="7" max="7" width="13.7109375" customWidth="1"/>
    <col min="8" max="8" width="13.28515625" customWidth="1"/>
    <col min="9" max="9" width="12.85546875" customWidth="1"/>
    <col min="10" max="10" width="12.7109375" customWidth="1"/>
    <col min="11" max="11" width="10.5703125" customWidth="1"/>
    <col min="12" max="12" width="18.140625" customWidth="1"/>
    <col min="13" max="13" width="18.28515625" customWidth="1"/>
    <col min="14" max="14" width="15.28515625" customWidth="1"/>
    <col min="15" max="15" width="10.42578125" customWidth="1"/>
    <col min="16" max="16" width="15" customWidth="1"/>
    <col min="17" max="17" width="17.5703125" customWidth="1"/>
    <col min="18" max="18" width="12.85546875" customWidth="1"/>
    <col min="19" max="19" width="30.42578125" customWidth="1"/>
    <col min="20" max="20" width="23.7109375" customWidth="1"/>
    <col min="21" max="21" width="12.85546875" customWidth="1"/>
    <col min="22" max="22" width="21.85546875" customWidth="1"/>
    <col min="23" max="23" width="22.28515625" customWidth="1"/>
    <col min="24" max="24" width="22" customWidth="1"/>
    <col min="25" max="25" width="21.7109375" customWidth="1"/>
  </cols>
  <sheetData>
    <row r="1" spans="1:27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109</v>
      </c>
    </row>
    <row r="2" spans="1:27">
      <c r="A2" t="s">
        <v>1489</v>
      </c>
      <c r="B2" s="1">
        <v>41485</v>
      </c>
      <c r="C2" t="s">
        <v>111</v>
      </c>
      <c r="D2" t="s">
        <v>112</v>
      </c>
      <c r="E2" t="s">
        <v>113</v>
      </c>
      <c r="F2" t="s">
        <v>114</v>
      </c>
      <c r="G2" t="s">
        <v>115</v>
      </c>
      <c r="I2" t="s">
        <v>1490</v>
      </c>
      <c r="J2" t="s">
        <v>118</v>
      </c>
      <c r="K2" t="s">
        <v>119</v>
      </c>
      <c r="L2" t="s">
        <v>120</v>
      </c>
      <c r="M2" t="s">
        <v>121</v>
      </c>
      <c r="N2" t="s">
        <v>199</v>
      </c>
      <c r="O2" t="s">
        <v>3</v>
      </c>
      <c r="P2" t="s">
        <v>52</v>
      </c>
      <c r="Q2" t="s">
        <v>123</v>
      </c>
      <c r="S2" t="s">
        <v>168</v>
      </c>
      <c r="T2" t="s">
        <v>1113</v>
      </c>
      <c r="W2" t="s">
        <v>1114</v>
      </c>
      <c r="X2" t="s">
        <v>1475</v>
      </c>
      <c r="Z2" t="s">
        <v>337</v>
      </c>
      <c r="AA2" t="s">
        <v>655</v>
      </c>
    </row>
    <row r="3" spans="1:27">
      <c r="A3" t="s">
        <v>1495</v>
      </c>
      <c r="B3" s="1">
        <v>41485</v>
      </c>
      <c r="C3" t="s">
        <v>111</v>
      </c>
      <c r="D3" t="s">
        <v>112</v>
      </c>
      <c r="E3" t="s">
        <v>113</v>
      </c>
      <c r="F3" t="s">
        <v>114</v>
      </c>
      <c r="G3" t="s">
        <v>115</v>
      </c>
      <c r="I3" t="s">
        <v>206</v>
      </c>
      <c r="J3" t="s">
        <v>118</v>
      </c>
      <c r="K3" t="s">
        <v>119</v>
      </c>
      <c r="L3" t="s">
        <v>120</v>
      </c>
      <c r="M3" t="s">
        <v>121</v>
      </c>
      <c r="N3" t="s">
        <v>199</v>
      </c>
      <c r="O3" t="s">
        <v>3</v>
      </c>
      <c r="P3" t="s">
        <v>52</v>
      </c>
      <c r="Q3" t="s">
        <v>123</v>
      </c>
      <c r="S3" t="s">
        <v>295</v>
      </c>
      <c r="T3" t="s">
        <v>1058</v>
      </c>
      <c r="W3" t="s">
        <v>1059</v>
      </c>
      <c r="X3" t="s">
        <v>1475</v>
      </c>
      <c r="Z3" t="s">
        <v>196</v>
      </c>
      <c r="AA3" t="s">
        <v>268</v>
      </c>
    </row>
    <row r="4" spans="1:27">
      <c r="A4" t="s">
        <v>1493</v>
      </c>
      <c r="B4" s="1">
        <v>41485</v>
      </c>
      <c r="C4" t="s">
        <v>111</v>
      </c>
      <c r="D4" t="s">
        <v>112</v>
      </c>
      <c r="E4" t="s">
        <v>113</v>
      </c>
      <c r="F4" t="s">
        <v>114</v>
      </c>
      <c r="G4" t="s">
        <v>115</v>
      </c>
      <c r="I4" t="s">
        <v>1494</v>
      </c>
      <c r="J4" t="s">
        <v>118</v>
      </c>
      <c r="K4" t="s">
        <v>119</v>
      </c>
      <c r="L4" t="s">
        <v>120</v>
      </c>
      <c r="M4" t="s">
        <v>121</v>
      </c>
      <c r="N4" t="s">
        <v>199</v>
      </c>
      <c r="O4" t="s">
        <v>6</v>
      </c>
      <c r="P4" t="s">
        <v>52</v>
      </c>
      <c r="Q4" t="s">
        <v>123</v>
      </c>
      <c r="S4" t="s">
        <v>168</v>
      </c>
      <c r="T4" t="s">
        <v>1113</v>
      </c>
      <c r="W4" t="s">
        <v>429</v>
      </c>
      <c r="X4" t="s">
        <v>1475</v>
      </c>
      <c r="Z4" t="s">
        <v>1110</v>
      </c>
      <c r="AA4" t="s">
        <v>327</v>
      </c>
    </row>
    <row r="5" spans="1:27">
      <c r="A5" t="s">
        <v>1487</v>
      </c>
      <c r="B5" s="1">
        <v>41485</v>
      </c>
      <c r="C5" t="s">
        <v>111</v>
      </c>
      <c r="D5" t="s">
        <v>112</v>
      </c>
      <c r="E5" t="s">
        <v>113</v>
      </c>
      <c r="F5" t="s">
        <v>114</v>
      </c>
      <c r="G5" t="s">
        <v>115</v>
      </c>
      <c r="I5" t="s">
        <v>1488</v>
      </c>
      <c r="J5" t="s">
        <v>118</v>
      </c>
      <c r="K5" t="s">
        <v>119</v>
      </c>
      <c r="L5" t="s">
        <v>120</v>
      </c>
      <c r="M5" t="s">
        <v>121</v>
      </c>
      <c r="N5" t="s">
        <v>199</v>
      </c>
      <c r="O5" t="s">
        <v>7</v>
      </c>
      <c r="P5" t="s">
        <v>52</v>
      </c>
      <c r="Q5" t="s">
        <v>123</v>
      </c>
      <c r="S5" t="s">
        <v>168</v>
      </c>
      <c r="T5" t="s">
        <v>1113</v>
      </c>
      <c r="W5" t="s">
        <v>429</v>
      </c>
      <c r="X5" t="s">
        <v>1475</v>
      </c>
      <c r="Z5" t="s">
        <v>137</v>
      </c>
      <c r="AA5" t="s">
        <v>327</v>
      </c>
    </row>
    <row r="6" spans="1:27">
      <c r="A6" t="s">
        <v>1496</v>
      </c>
      <c r="B6" s="1">
        <v>41485</v>
      </c>
      <c r="C6" t="s">
        <v>111</v>
      </c>
      <c r="D6" t="s">
        <v>112</v>
      </c>
      <c r="E6" t="s">
        <v>113</v>
      </c>
      <c r="F6" t="s">
        <v>114</v>
      </c>
      <c r="G6" t="s">
        <v>115</v>
      </c>
      <c r="I6" t="s">
        <v>1497</v>
      </c>
      <c r="J6" t="s">
        <v>118</v>
      </c>
      <c r="K6" t="s">
        <v>119</v>
      </c>
      <c r="L6" t="s">
        <v>120</v>
      </c>
      <c r="M6" t="s">
        <v>121</v>
      </c>
      <c r="N6" t="s">
        <v>199</v>
      </c>
      <c r="O6" t="s">
        <v>7</v>
      </c>
      <c r="P6" t="s">
        <v>52</v>
      </c>
      <c r="Q6" t="s">
        <v>123</v>
      </c>
      <c r="S6" t="s">
        <v>168</v>
      </c>
      <c r="T6" t="s">
        <v>1113</v>
      </c>
      <c r="W6" t="s">
        <v>1114</v>
      </c>
      <c r="X6" t="s">
        <v>1475</v>
      </c>
      <c r="Z6" t="s">
        <v>350</v>
      </c>
      <c r="AA6" t="s">
        <v>655</v>
      </c>
    </row>
    <row r="7" spans="1:27">
      <c r="A7" t="s">
        <v>1491</v>
      </c>
      <c r="B7" s="1">
        <v>41485</v>
      </c>
      <c r="C7" t="s">
        <v>111</v>
      </c>
      <c r="D7" t="s">
        <v>112</v>
      </c>
      <c r="E7" t="s">
        <v>113</v>
      </c>
      <c r="F7" t="s">
        <v>114</v>
      </c>
      <c r="G7" t="s">
        <v>115</v>
      </c>
      <c r="I7" t="s">
        <v>1492</v>
      </c>
      <c r="J7" t="s">
        <v>118</v>
      </c>
      <c r="K7" t="s">
        <v>119</v>
      </c>
      <c r="L7" t="s">
        <v>120</v>
      </c>
      <c r="M7" t="s">
        <v>121</v>
      </c>
      <c r="N7" t="s">
        <v>199</v>
      </c>
      <c r="O7" t="s">
        <v>10</v>
      </c>
      <c r="P7" t="s">
        <v>52</v>
      </c>
      <c r="Q7" t="s">
        <v>123</v>
      </c>
      <c r="S7" t="s">
        <v>168</v>
      </c>
      <c r="T7" t="s">
        <v>1113</v>
      </c>
      <c r="W7" t="s">
        <v>1114</v>
      </c>
      <c r="X7" t="s">
        <v>1475</v>
      </c>
      <c r="Z7" t="s">
        <v>321</v>
      </c>
      <c r="AA7" t="s">
        <v>655</v>
      </c>
    </row>
    <row r="8" spans="1:27">
      <c r="A8" t="s">
        <v>1498</v>
      </c>
      <c r="B8" s="1">
        <v>41485</v>
      </c>
      <c r="C8" t="s">
        <v>111</v>
      </c>
      <c r="D8" t="s">
        <v>112</v>
      </c>
      <c r="E8" t="s">
        <v>113</v>
      </c>
      <c r="F8" t="s">
        <v>114</v>
      </c>
      <c r="G8" t="s">
        <v>115</v>
      </c>
      <c r="I8" t="s">
        <v>1499</v>
      </c>
      <c r="J8" t="s">
        <v>118</v>
      </c>
      <c r="K8" t="s">
        <v>119</v>
      </c>
      <c r="L8" t="s">
        <v>120</v>
      </c>
      <c r="M8" t="s">
        <v>121</v>
      </c>
      <c r="N8" t="s">
        <v>199</v>
      </c>
      <c r="O8" t="s">
        <v>10</v>
      </c>
      <c r="P8" t="s">
        <v>52</v>
      </c>
      <c r="Q8" t="s">
        <v>123</v>
      </c>
      <c r="S8" t="s">
        <v>168</v>
      </c>
      <c r="T8" t="s">
        <v>1113</v>
      </c>
      <c r="W8" t="s">
        <v>1114</v>
      </c>
      <c r="X8" t="s">
        <v>1475</v>
      </c>
      <c r="Z8" t="s">
        <v>1500</v>
      </c>
      <c r="AA8" t="s">
        <v>655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60</vt:i4>
      </vt:variant>
    </vt:vector>
  </HeadingPairs>
  <TitlesOfParts>
    <vt:vector size="60" baseType="lpstr">
      <vt:lpstr>resumo</vt:lpstr>
      <vt:lpstr>contador</vt:lpstr>
      <vt:lpstr>swap1</vt:lpstr>
      <vt:lpstr>lib1</vt:lpstr>
      <vt:lpstr>swap2</vt:lpstr>
      <vt:lpstr>lib2</vt:lpstr>
      <vt:lpstr>swap3</vt:lpstr>
      <vt:lpstr>lib3</vt:lpstr>
      <vt:lpstr>swap4</vt:lpstr>
      <vt:lpstr>lib4</vt:lpstr>
      <vt:lpstr>swap5</vt:lpstr>
      <vt:lpstr>lib5</vt:lpstr>
      <vt:lpstr>swap6</vt:lpstr>
      <vt:lpstr>lib6</vt:lpstr>
      <vt:lpstr>swap8</vt:lpstr>
      <vt:lpstr>lib8</vt:lpstr>
      <vt:lpstr>swap9</vt:lpstr>
      <vt:lpstr>lib9</vt:lpstr>
      <vt:lpstr>swap10</vt:lpstr>
      <vt:lpstr>lib10</vt:lpstr>
      <vt:lpstr>swap11</vt:lpstr>
      <vt:lpstr>lib11</vt:lpstr>
      <vt:lpstr>swap12</vt:lpstr>
      <vt:lpstr>lib12</vt:lpstr>
      <vt:lpstr>swap13</vt:lpstr>
      <vt:lpstr>lib13</vt:lpstr>
      <vt:lpstr>swap14</vt:lpstr>
      <vt:lpstr>lib14</vt:lpstr>
      <vt:lpstr>swap15</vt:lpstr>
      <vt:lpstr>lib15</vt:lpstr>
      <vt:lpstr>swap16</vt:lpstr>
      <vt:lpstr>lib16</vt:lpstr>
      <vt:lpstr>swap17</vt:lpstr>
      <vt:lpstr>lib17</vt:lpstr>
      <vt:lpstr>swap18</vt:lpstr>
      <vt:lpstr>lib18</vt:lpstr>
      <vt:lpstr>swap19</vt:lpstr>
      <vt:lpstr>lib19</vt:lpstr>
      <vt:lpstr>swap20</vt:lpstr>
      <vt:lpstr>lib20</vt:lpstr>
      <vt:lpstr>swap21</vt:lpstr>
      <vt:lpstr>lib21</vt:lpstr>
      <vt:lpstr>swap22</vt:lpstr>
      <vt:lpstr>lib22</vt:lpstr>
      <vt:lpstr>swap23</vt:lpstr>
      <vt:lpstr>lib23</vt:lpstr>
      <vt:lpstr>swap24</vt:lpstr>
      <vt:lpstr>lib24</vt:lpstr>
      <vt:lpstr>swap25</vt:lpstr>
      <vt:lpstr>lib25</vt:lpstr>
      <vt:lpstr>swap26</vt:lpstr>
      <vt:lpstr>lib26</vt:lpstr>
      <vt:lpstr>swap27</vt:lpstr>
      <vt:lpstr>lib27</vt:lpstr>
      <vt:lpstr>swap28</vt:lpstr>
      <vt:lpstr>lib28</vt:lpstr>
      <vt:lpstr>swap29</vt:lpstr>
      <vt:lpstr>lib29</vt:lpstr>
      <vt:lpstr>swap30</vt:lpstr>
      <vt:lpstr>lib30</vt:lpstr>
    </vt:vector>
  </TitlesOfParts>
  <Company>NETSERVICOS S/A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"Valdemir Bezerra De Souza Junior" &lt;Valdemir.Junior2@netservicos.com.br&gt;</dc:creator>
  <cp:lastModifiedBy>phoenix</cp:lastModifiedBy>
  <dcterms:created xsi:type="dcterms:W3CDTF">2013-04-11T21:47:25Z</dcterms:created>
  <dcterms:modified xsi:type="dcterms:W3CDTF">2013-07-31T18:09:03Z</dcterms:modified>
</cp:coreProperties>
</file>