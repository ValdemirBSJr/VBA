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EstaPasta_de_trabalho" defaultThemeVersion="124226"/>
  <bookViews>
    <workbookView xWindow="360" yWindow="300" windowWidth="15480" windowHeight="11640"/>
  </bookViews>
  <sheets>
    <sheet name="pagamentos" sheetId="1" r:id="rId1"/>
    <sheet name="por centro de custo" sheetId="2" r:id="rId2"/>
    <sheet name="contas" sheetId="5" r:id="rId3"/>
    <sheet name="Plan3" sheetId="3" r:id="rId4"/>
  </sheets>
  <definedNames>
    <definedName name="abr">Plan3!$A$278:$C$287</definedName>
    <definedName name="abril">Plan3!$A$187:$E$214</definedName>
    <definedName name="fev">Plan3!$A$256:$C$265</definedName>
    <definedName name="fevereiro">Plan3!$A$129:$E$156</definedName>
    <definedName name="jan">Plan3!$A$245:$C$254</definedName>
    <definedName name="janeiro">Plan3!$A$100:$E$127</definedName>
    <definedName name="maio">Plan3!$A$216:$E$243</definedName>
    <definedName name="mar">Plan3!$A$267:$C$276</definedName>
    <definedName name="março">Plan3!$A$158:$E$185</definedName>
    <definedName name="mostra_custo">'por centro de custo'!$C$2:$E$11</definedName>
    <definedName name="mostra_pagamento">pagamentos!$A$4:$E$31</definedName>
  </definedNames>
  <calcPr calcId="125725"/>
</workbook>
</file>

<file path=xl/calcChain.xml><?xml version="1.0" encoding="utf-8"?>
<calcChain xmlns="http://schemas.openxmlformats.org/spreadsheetml/2006/main">
  <c r="I6" i="1"/>
  <c r="I8"/>
  <c r="I7"/>
</calcChain>
</file>

<file path=xl/comments1.xml><?xml version="1.0" encoding="utf-8"?>
<comments xmlns="http://schemas.openxmlformats.org/spreadsheetml/2006/main">
  <authors>
    <author>Autor</author>
  </authors>
  <commentList>
    <comment ref="D2" author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Os meses descritos dizem respeito ao mês da realização dos serviços e não de lançamento.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A1" author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Valores divergentes dos totais da planilha "pagamentos" devido as datas dos lançamentos reais. Muitos lançamentos foram pagos em outro exercício devido a dificuldades com as verbas. Aqui representam os valores mensais devidos </t>
        </r>
      </text>
    </comment>
    <comment ref="F1" authorId="0">
      <text>
        <r>
          <rPr>
            <b/>
            <sz val="8"/>
            <color indexed="81"/>
            <rFont val="Tahoma"/>
            <family val="2"/>
          </rPr>
          <t>Autor:</t>
        </r>
        <r>
          <rPr>
            <sz val="8"/>
            <color indexed="81"/>
            <rFont val="Tahoma"/>
            <family val="2"/>
          </rPr>
          <t xml:space="preserve">
Diz respeito ao mês de lançamento, não da realização de serviços.</t>
        </r>
      </text>
    </comment>
  </commentList>
</comments>
</file>

<file path=xl/sharedStrings.xml><?xml version="1.0" encoding="utf-8"?>
<sst xmlns="http://schemas.openxmlformats.org/spreadsheetml/2006/main" count="525" uniqueCount="226">
  <si>
    <t>RELATÓRIO DAS EMPREITERAS 2012</t>
  </si>
  <si>
    <t>SELECIONE O MÊS:</t>
  </si>
  <si>
    <t>JANEIRO</t>
  </si>
  <si>
    <t>FEVEREIRO</t>
  </si>
  <si>
    <t>MARÇO</t>
  </si>
  <si>
    <t>ABRIL</t>
  </si>
  <si>
    <t>DATA</t>
  </si>
  <si>
    <t>PEDIDO</t>
  </si>
  <si>
    <t>FORNECEDOR</t>
  </si>
  <si>
    <t>DESCRIÇÃO</t>
  </si>
  <si>
    <t>DESPESA</t>
  </si>
  <si>
    <t>74149 QN</t>
  </si>
  <si>
    <t>CONSTRUCABLE</t>
  </si>
  <si>
    <t>MANUTENÇÃO DE REDES</t>
  </si>
  <si>
    <t>74268 QN</t>
  </si>
  <si>
    <t xml:space="preserve">TELLE </t>
  </si>
  <si>
    <t>GLOBAL BUSINESS</t>
  </si>
  <si>
    <t>75183 QN</t>
  </si>
  <si>
    <t>MEDIÇÕES EMPREITEIRA</t>
  </si>
  <si>
    <t>74480 QN</t>
  </si>
  <si>
    <t>74486 QN</t>
  </si>
  <si>
    <t>74492 QN</t>
  </si>
  <si>
    <t>75172 QN</t>
  </si>
  <si>
    <t>74504 QN</t>
  </si>
  <si>
    <t>74512 QN</t>
  </si>
  <si>
    <t>74514 QN</t>
  </si>
  <si>
    <t>75181 QN</t>
  </si>
  <si>
    <t>74519 QN</t>
  </si>
  <si>
    <t>74521 QN</t>
  </si>
  <si>
    <t>74523 QN</t>
  </si>
  <si>
    <t>74927 QN</t>
  </si>
  <si>
    <t>DESCONEXÃO</t>
  </si>
  <si>
    <t>74932 QN</t>
  </si>
  <si>
    <t>75036 QN</t>
  </si>
  <si>
    <t>75441 QN</t>
  </si>
  <si>
    <t>MDU</t>
  </si>
  <si>
    <t>75469 QN</t>
  </si>
  <si>
    <t>76221 QN</t>
  </si>
  <si>
    <t>76227 QN</t>
  </si>
  <si>
    <t>76229 QN</t>
  </si>
  <si>
    <t>GESTÃO DE SERVI. TERC.</t>
  </si>
  <si>
    <t>76230 QN</t>
  </si>
  <si>
    <t>BAIXA DE O.S.</t>
  </si>
  <si>
    <t>76232 QN</t>
  </si>
  <si>
    <t>SWAP E MANUTENÇÃO</t>
  </si>
  <si>
    <t>76234 QN</t>
  </si>
  <si>
    <t>76231 QN</t>
  </si>
  <si>
    <t xml:space="preserve">INSTALAÇÃO </t>
  </si>
  <si>
    <t>76263 QN</t>
  </si>
  <si>
    <t>76264 QN</t>
  </si>
  <si>
    <t>BAIXA DE OS</t>
  </si>
  <si>
    <t>76265 QN</t>
  </si>
  <si>
    <t>76266 QN</t>
  </si>
  <si>
    <t>INSTALAÇÃO SEM G660</t>
  </si>
  <si>
    <t>76269 QN</t>
  </si>
  <si>
    <t>SWAP SEM MANUTENÇÃO DE CLIENTES</t>
  </si>
  <si>
    <t>76273 QN</t>
  </si>
  <si>
    <t>76274 QN</t>
  </si>
  <si>
    <t>76275 QN</t>
  </si>
  <si>
    <t>INSTALAÇÕES</t>
  </si>
  <si>
    <t>76276 QN</t>
  </si>
  <si>
    <t>76277 QN</t>
  </si>
  <si>
    <t>77224 QN</t>
  </si>
  <si>
    <t>77621 QN</t>
  </si>
  <si>
    <t>MANUT. DE CLIENTES</t>
  </si>
  <si>
    <t>77620 QN</t>
  </si>
  <si>
    <t>instal. De clientes</t>
  </si>
  <si>
    <t>77553 QN</t>
  </si>
  <si>
    <t>77969 QN</t>
  </si>
  <si>
    <t>77970 QN</t>
  </si>
  <si>
    <t>77977 QN</t>
  </si>
  <si>
    <t>77983 QN</t>
  </si>
  <si>
    <t>77987 QN</t>
  </si>
  <si>
    <t>77993 QN</t>
  </si>
  <si>
    <t>78003 QN</t>
  </si>
  <si>
    <t>78272 QN</t>
  </si>
  <si>
    <t>INSTAL. PYMES</t>
  </si>
  <si>
    <t>78279 QN</t>
  </si>
  <si>
    <t>78343 QN</t>
  </si>
  <si>
    <t>78344 QN</t>
  </si>
  <si>
    <t>MANUTENÇÃO DE REDES CMPLEMENTAR</t>
  </si>
  <si>
    <t>78403 QN</t>
  </si>
  <si>
    <t>78405 QN</t>
  </si>
  <si>
    <t>INSTAL. CLIENTES P.A.</t>
  </si>
  <si>
    <t>78408 QN</t>
  </si>
  <si>
    <t>78413 QN</t>
  </si>
  <si>
    <t>78418 QN</t>
  </si>
  <si>
    <t>78429 QN</t>
  </si>
  <si>
    <t>78661 QN</t>
  </si>
  <si>
    <t>GESTÃO DE TERC.</t>
  </si>
  <si>
    <t>78718 QN</t>
  </si>
  <si>
    <t>78725 QN</t>
  </si>
  <si>
    <t>SWAP E MANUTENÇÃO DE CLIENTES</t>
  </si>
  <si>
    <t>73541 QI</t>
  </si>
  <si>
    <t>QUEBRA DE NODES</t>
  </si>
  <si>
    <t>79399 QN</t>
  </si>
  <si>
    <t>80187 QN</t>
  </si>
  <si>
    <t>80188 QN</t>
  </si>
  <si>
    <t>80191 QN</t>
  </si>
  <si>
    <t>80213 QN</t>
  </si>
  <si>
    <t>INSTALAÇÃO DE ASSINANTES</t>
  </si>
  <si>
    <t>80215 QN</t>
  </si>
  <si>
    <t>80216 QN</t>
  </si>
  <si>
    <t>80292 QN</t>
  </si>
  <si>
    <t xml:space="preserve">MANUT. DE REDE EXT. </t>
  </si>
  <si>
    <t>80290 QN</t>
  </si>
  <si>
    <t>MANUT. DE REDE EXT. ADICIONAL</t>
  </si>
  <si>
    <t>80323 QN</t>
  </si>
  <si>
    <t>80324 QN</t>
  </si>
  <si>
    <t>GESTÃO DE SERV. TERCEIRIZADOS</t>
  </si>
  <si>
    <t>80326 QN</t>
  </si>
  <si>
    <t>BAIXA DE ORDENS</t>
  </si>
  <si>
    <t>80328 QN</t>
  </si>
  <si>
    <t>INSTALA. PA E PYMES</t>
  </si>
  <si>
    <t>80296 QN</t>
  </si>
  <si>
    <t>80300 QN</t>
  </si>
  <si>
    <t>80306 QN</t>
  </si>
  <si>
    <t>INSTAL. PA E PYME</t>
  </si>
  <si>
    <t>80310 QN</t>
  </si>
  <si>
    <t>SWAP SEM MANUTENÇÃO</t>
  </si>
  <si>
    <t>80315 QN</t>
  </si>
  <si>
    <t>80316 QN</t>
  </si>
  <si>
    <t>80317 QN</t>
  </si>
  <si>
    <t>80321 QN</t>
  </si>
  <si>
    <t>81068 QN</t>
  </si>
  <si>
    <t>MANUTENÇÃO DE ASSINANTES</t>
  </si>
  <si>
    <t>81470 QN</t>
  </si>
  <si>
    <t>CONSTRUÇÃO DE MDU</t>
  </si>
  <si>
    <t>81978 QN</t>
  </si>
  <si>
    <t>EXPANSÃO</t>
  </si>
  <si>
    <t>81555 QN</t>
  </si>
  <si>
    <t>ADITIVO REDE EXTERN.</t>
  </si>
  <si>
    <t>81557 QN</t>
  </si>
  <si>
    <t>MANUT. REDE EXTERNA</t>
  </si>
  <si>
    <t>81699 QN</t>
  </si>
  <si>
    <t>GESTÃO DE SERV.</t>
  </si>
  <si>
    <t>81704 QN</t>
  </si>
  <si>
    <t>81701 QN</t>
  </si>
  <si>
    <t>INSTAL. PA E PYMES</t>
  </si>
  <si>
    <t>81707 QN</t>
  </si>
  <si>
    <t>SWAP SEM MANUT.</t>
  </si>
  <si>
    <t>81708 QN</t>
  </si>
  <si>
    <t>81710 QN</t>
  </si>
  <si>
    <t>INSTAL. DE CLIENTES</t>
  </si>
  <si>
    <t>81646 QN</t>
  </si>
  <si>
    <t>81654 QN</t>
  </si>
  <si>
    <t>81670 QN</t>
  </si>
  <si>
    <t>81674 QN</t>
  </si>
  <si>
    <t>SWAP E MANUT. DE ASSIM.</t>
  </si>
  <si>
    <t>81676 QN</t>
  </si>
  <si>
    <t>81678 QN</t>
  </si>
  <si>
    <t>81685 QN</t>
  </si>
  <si>
    <t>81687 QN</t>
  </si>
  <si>
    <t>BAIXA</t>
  </si>
  <si>
    <t>81689 QN</t>
  </si>
  <si>
    <t>81697 QN</t>
  </si>
  <si>
    <t>81691 QN</t>
  </si>
  <si>
    <t>81695 QN</t>
  </si>
  <si>
    <t>82819 QN</t>
  </si>
  <si>
    <t>MANUT. DE ASSINANTES</t>
  </si>
  <si>
    <t>TELLE:</t>
  </si>
  <si>
    <t>CONSTRUCABLE:</t>
  </si>
  <si>
    <t>TOTAL:</t>
  </si>
  <si>
    <t>GESTÃO DE SERVIÇOS TERCEIRIZADOS</t>
  </si>
  <si>
    <t>COP - BAIXA DE ORDENS DE SERVIÇOS</t>
  </si>
  <si>
    <t>INSTALAÇÃO DE CLIENTES</t>
  </si>
  <si>
    <t>MANUTENÇÃO DE CLIENTES</t>
  </si>
  <si>
    <t>DESCONEXÃO E RETIRADA DE EQUIPAMENTOS</t>
  </si>
  <si>
    <t>INSTALAÇÃO DE CLIENTES - PA</t>
  </si>
  <si>
    <t>INSTALAÇÃO PYMES</t>
  </si>
  <si>
    <t>SWAP TECNICA</t>
  </si>
  <si>
    <t>G632</t>
  </si>
  <si>
    <t>G637</t>
  </si>
  <si>
    <t>G643</t>
  </si>
  <si>
    <t>G644</t>
  </si>
  <si>
    <t>G647</t>
  </si>
  <si>
    <t>G660</t>
  </si>
  <si>
    <t>G672</t>
  </si>
  <si>
    <t>R773</t>
  </si>
  <si>
    <t>CC</t>
  </si>
  <si>
    <t>VALOR</t>
  </si>
  <si>
    <t>TELLE</t>
  </si>
  <si>
    <t>GLOBAL</t>
  </si>
  <si>
    <t>DEZEMBRO</t>
  </si>
  <si>
    <t>MÊS:</t>
  </si>
  <si>
    <t>Cost Code</t>
  </si>
  <si>
    <t>Cost Type</t>
  </si>
  <si>
    <t>Account Description</t>
  </si>
  <si>
    <t>Orçamento Disponível</t>
  </si>
  <si>
    <t>Valor Orçado</t>
  </si>
  <si>
    <t>Valor Comprometid</t>
  </si>
  <si>
    <t>Valor Realizado</t>
  </si>
  <si>
    <t>Job</t>
  </si>
  <si>
    <t>Job Description</t>
  </si>
  <si>
    <t>004</t>
  </si>
  <si>
    <t>339903</t>
  </si>
  <si>
    <t xml:space="preserve">       MANUT ASSIN-PJ</t>
  </si>
  <si>
    <t xml:space="preserve">   71601G632</t>
  </si>
  <si>
    <t>PTV REG GESTÃO DE SERVIÇOS TER</t>
  </si>
  <si>
    <t xml:space="preserve">   71601G637</t>
  </si>
  <si>
    <t>PTV REG COP - BAIXA DE ORDENS</t>
  </si>
  <si>
    <t xml:space="preserve">   71601G644</t>
  </si>
  <si>
    <t>PTV REG MANUTENÇÃO DE CLIENTES</t>
  </si>
  <si>
    <t xml:space="preserve">   71601G647</t>
  </si>
  <si>
    <t>PTV REG DESC E RETIRADA DE EQU</t>
  </si>
  <si>
    <t>71601R773</t>
  </si>
  <si>
    <t>MANUT REDE BIDIRECIONAL</t>
  </si>
  <si>
    <t>006</t>
  </si>
  <si>
    <t xml:space="preserve">       INST ASSIN-PJ</t>
  </si>
  <si>
    <t xml:space="preserve">   71601G643</t>
  </si>
  <si>
    <t>PTV REG INSTALAÇÃO DE CLIENTES</t>
  </si>
  <si>
    <t xml:space="preserve">   71601G660</t>
  </si>
  <si>
    <t>PTV DIE Instalação de Assinant</t>
  </si>
  <si>
    <t>71608G672</t>
  </si>
  <si>
    <t>PTV Instal. Pymes</t>
  </si>
  <si>
    <t>CONTAS DAS MEDIÇÕES SERVIÇOS INSTAL./MANUT.</t>
  </si>
  <si>
    <t>CONTA DE REDE</t>
  </si>
  <si>
    <t>TOTAL PAGO</t>
  </si>
  <si>
    <t>002</t>
  </si>
  <si>
    <t xml:space="preserve">       MANUT REDE-PJ</t>
  </si>
  <si>
    <t xml:space="preserve">   71601G649</t>
  </si>
  <si>
    <t>PTV REG MANUT REDE BIDIRECIONA</t>
  </si>
  <si>
    <t>CONTA DE DESCONEXÃO</t>
  </si>
  <si>
    <t xml:space="preserve">RETIRADA </t>
  </si>
  <si>
    <t>71601G647</t>
  </si>
  <si>
    <t>010</t>
  </si>
</sst>
</file>

<file path=xl/styles.xml><?xml version="1.0" encoding="utf-8"?>
<styleSheet xmlns="http://schemas.openxmlformats.org/spreadsheetml/2006/main">
  <numFmts count="2">
    <numFmt numFmtId="44" formatCode="_(&quot;R$ &quot;* #,##0.00_);_(&quot;R$ &quot;* \(#,##0.00\);_(&quot;R$ &quot;* &quot;-&quot;??_);_(@_)"/>
    <numFmt numFmtId="164" formatCode="&quot;R$ &quot;#,##0.00"/>
  </numFmts>
  <fonts count="18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3"/>
      </left>
      <right/>
      <top style="thin">
        <color theme="3"/>
      </top>
      <bottom style="dashed">
        <color theme="4"/>
      </bottom>
      <diagonal/>
    </border>
    <border>
      <left style="thin">
        <color theme="3"/>
      </left>
      <right/>
      <top style="dashed">
        <color theme="4"/>
      </top>
      <bottom style="dashed">
        <color theme="4"/>
      </bottom>
      <diagonal/>
    </border>
    <border>
      <left style="thin">
        <color theme="3"/>
      </left>
      <right/>
      <top style="dashed">
        <color theme="4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dashed">
        <color theme="4"/>
      </bottom>
      <diagonal/>
    </border>
    <border>
      <left style="thin">
        <color theme="3"/>
      </left>
      <right style="thin">
        <color theme="3"/>
      </right>
      <top style="dashed">
        <color theme="4"/>
      </top>
      <bottom style="dashed">
        <color theme="4"/>
      </bottom>
      <diagonal/>
    </border>
    <border>
      <left style="thin">
        <color theme="3"/>
      </left>
      <right style="thin">
        <color theme="3"/>
      </right>
      <top style="dashed">
        <color theme="4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/>
      <bottom style="thin">
        <color theme="3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71">
    <xf numFmtId="0" fontId="0" fillId="0" borderId="0" xfId="0"/>
    <xf numFmtId="0" fontId="0" fillId="2" borderId="5" xfId="0" applyFill="1" applyBorder="1"/>
    <xf numFmtId="0" fontId="0" fillId="2" borderId="6" xfId="0" applyFill="1" applyBorder="1"/>
    <xf numFmtId="0" fontId="0" fillId="0" borderId="6" xfId="0" applyBorder="1"/>
    <xf numFmtId="0" fontId="0" fillId="0" borderId="7" xfId="0" applyBorder="1"/>
    <xf numFmtId="14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164" fontId="4" fillId="3" borderId="1" xfId="0" applyNumberFormat="1" applyFont="1" applyFill="1" applyBorder="1" applyAlignment="1">
      <alignment horizontal="center"/>
    </xf>
    <xf numFmtId="14" fontId="5" fillId="0" borderId="1" xfId="0" applyNumberFormat="1" applyFont="1" applyBorder="1"/>
    <xf numFmtId="0" fontId="5" fillId="0" borderId="1" xfId="0" applyFont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/>
    <xf numFmtId="0" fontId="5" fillId="0" borderId="1" xfId="0" applyFont="1" applyBorder="1"/>
    <xf numFmtId="164" fontId="5" fillId="0" borderId="1" xfId="0" applyNumberFormat="1" applyFont="1" applyBorder="1"/>
    <xf numFmtId="164" fontId="5" fillId="0" borderId="1" xfId="0" applyNumberFormat="1" applyFont="1" applyFill="1" applyBorder="1"/>
    <xf numFmtId="14" fontId="6" fillId="0" borderId="1" xfId="0" applyNumberFormat="1" applyFont="1" applyFill="1" applyBorder="1"/>
    <xf numFmtId="0" fontId="6" fillId="0" borderId="1" xfId="0" applyFont="1" applyFill="1" applyBorder="1"/>
    <xf numFmtId="164" fontId="6" fillId="0" borderId="1" xfId="0" applyNumberFormat="1" applyFont="1" applyFill="1" applyBorder="1"/>
    <xf numFmtId="14" fontId="6" fillId="0" borderId="1" xfId="0" applyNumberFormat="1" applyFont="1" applyBorder="1"/>
    <xf numFmtId="0" fontId="6" fillId="0" borderId="1" xfId="0" applyFont="1" applyBorder="1"/>
    <xf numFmtId="164" fontId="6" fillId="0" borderId="1" xfId="0" applyNumberFormat="1" applyFont="1" applyBorder="1"/>
    <xf numFmtId="14" fontId="5" fillId="0" borderId="1" xfId="0" applyNumberFormat="1" applyFont="1" applyFill="1" applyBorder="1"/>
    <xf numFmtId="164" fontId="7" fillId="0" borderId="1" xfId="0" applyNumberFormat="1" applyFont="1" applyBorder="1"/>
    <xf numFmtId="44" fontId="5" fillId="0" borderId="1" xfId="1" applyFont="1" applyBorder="1"/>
    <xf numFmtId="44" fontId="4" fillId="3" borderId="1" xfId="1" applyFont="1" applyFill="1" applyBorder="1" applyAlignment="1">
      <alignment horizontal="center"/>
    </xf>
    <xf numFmtId="44" fontId="5" fillId="0" borderId="1" xfId="1" applyFont="1" applyFill="1" applyBorder="1"/>
    <xf numFmtId="0" fontId="8" fillId="0" borderId="1" xfId="0" applyFont="1" applyBorder="1"/>
    <xf numFmtId="0" fontId="9" fillId="0" borderId="1" xfId="0" applyFont="1" applyFill="1" applyBorder="1"/>
    <xf numFmtId="0" fontId="8" fillId="0" borderId="1" xfId="0" applyFont="1" applyFill="1" applyBorder="1"/>
    <xf numFmtId="44" fontId="10" fillId="0" borderId="1" xfId="1" applyFont="1" applyBorder="1"/>
    <xf numFmtId="44" fontId="11" fillId="0" borderId="1" xfId="1" applyFont="1" applyBorder="1"/>
    <xf numFmtId="0" fontId="0" fillId="0" borderId="1" xfId="0" applyBorder="1"/>
    <xf numFmtId="0" fontId="0" fillId="0" borderId="8" xfId="0" applyBorder="1"/>
    <xf numFmtId="0" fontId="0" fillId="0" borderId="0" xfId="0" applyFill="1" applyBorder="1"/>
    <xf numFmtId="0" fontId="12" fillId="10" borderId="9" xfId="0" applyFont="1" applyFill="1" applyBorder="1" applyAlignment="1">
      <alignment vertical="center"/>
    </xf>
    <xf numFmtId="0" fontId="12" fillId="10" borderId="10" xfId="0" applyFont="1" applyFill="1" applyBorder="1" applyAlignment="1">
      <alignment vertical="center"/>
    </xf>
    <xf numFmtId="0" fontId="12" fillId="10" borderId="11" xfId="0" applyFont="1" applyFill="1" applyBorder="1" applyAlignment="1">
      <alignment vertical="center"/>
    </xf>
    <xf numFmtId="0" fontId="13" fillId="11" borderId="12" xfId="0" applyFont="1" applyFill="1" applyBorder="1" applyAlignment="1">
      <alignment horizontal="center" vertical="center"/>
    </xf>
    <xf numFmtId="0" fontId="13" fillId="11" borderId="13" xfId="0" applyFont="1" applyFill="1" applyBorder="1" applyAlignment="1">
      <alignment horizontal="center" vertical="center"/>
    </xf>
    <xf numFmtId="0" fontId="13" fillId="11" borderId="14" xfId="0" applyFont="1" applyFill="1" applyBorder="1" applyAlignment="1">
      <alignment horizontal="center" vertical="center"/>
    </xf>
    <xf numFmtId="164" fontId="0" fillId="0" borderId="0" xfId="0" applyNumberFormat="1"/>
    <xf numFmtId="0" fontId="3" fillId="0" borderId="0" xfId="0" applyFont="1"/>
    <xf numFmtId="0" fontId="3" fillId="8" borderId="0" xfId="0" applyFont="1" applyFill="1" applyAlignment="1">
      <alignment horizontal="center"/>
    </xf>
    <xf numFmtId="164" fontId="0" fillId="7" borderId="0" xfId="0" applyNumberFormat="1" applyFill="1"/>
    <xf numFmtId="17" fontId="0" fillId="0" borderId="0" xfId="0" applyNumberFormat="1"/>
    <xf numFmtId="0" fontId="3" fillId="5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Fill="1"/>
    <xf numFmtId="164" fontId="0" fillId="0" borderId="0" xfId="0" applyNumberFormat="1" applyFill="1"/>
    <xf numFmtId="4" fontId="0" fillId="0" borderId="0" xfId="0" applyNumberFormat="1"/>
    <xf numFmtId="49" fontId="0" fillId="0" borderId="0" xfId="0" applyNumberFormat="1"/>
    <xf numFmtId="0" fontId="3" fillId="12" borderId="0" xfId="0" applyFont="1" applyFill="1"/>
    <xf numFmtId="0" fontId="17" fillId="0" borderId="0" xfId="0" applyFont="1" applyAlignment="1">
      <alignment horizontal="left" wrapText="1"/>
    </xf>
    <xf numFmtId="4" fontId="17" fillId="0" borderId="0" xfId="0" applyNumberFormat="1" applyFont="1" applyAlignment="1">
      <alignment horizontal="right" wrapText="1"/>
    </xf>
    <xf numFmtId="0" fontId="17" fillId="0" borderId="0" xfId="0" applyFont="1" applyAlignment="1">
      <alignment horizontal="right" wrapText="1"/>
    </xf>
    <xf numFmtId="0" fontId="17" fillId="0" borderId="0" xfId="0" applyFont="1" applyAlignment="1">
      <alignment horizontal="center" wrapText="1"/>
    </xf>
    <xf numFmtId="0" fontId="3" fillId="6" borderId="8" xfId="0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14" fillId="4" borderId="15" xfId="0" applyFont="1" applyFill="1" applyBorder="1" applyAlignment="1">
      <alignment horizontal="center"/>
    </xf>
    <xf numFmtId="0" fontId="14" fillId="5" borderId="0" xfId="0" applyFont="1" applyFill="1" applyAlignment="1">
      <alignment horizontal="center"/>
    </xf>
    <xf numFmtId="0" fontId="14" fillId="5" borderId="0" xfId="0" applyFont="1" applyFill="1" applyAlignment="1">
      <alignment horizontal="center" vertical="center"/>
    </xf>
    <xf numFmtId="0" fontId="14" fillId="5" borderId="16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/>
    </xf>
    <xf numFmtId="0" fontId="14" fillId="8" borderId="1" xfId="0" applyFont="1" applyFill="1" applyBorder="1" applyAlignment="1">
      <alignment horizontal="center"/>
    </xf>
    <xf numFmtId="0" fontId="14" fillId="13" borderId="1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Z31"/>
  <sheetViews>
    <sheetView tabSelected="1" zoomScale="90" zoomScaleNormal="90" workbookViewId="0">
      <selection activeCell="A3" sqref="A3"/>
    </sheetView>
  </sheetViews>
  <sheetFormatPr defaultRowHeight="15"/>
  <cols>
    <col min="1" max="1" width="12.5703125" customWidth="1"/>
    <col min="2" max="2" width="10.28515625" customWidth="1"/>
    <col min="3" max="3" width="22.7109375" customWidth="1"/>
    <col min="4" max="4" width="25.140625" customWidth="1"/>
    <col min="5" max="5" width="15.140625" customWidth="1"/>
    <col min="6" max="6" width="5.85546875" customWidth="1"/>
    <col min="8" max="8" width="11" customWidth="1"/>
    <col min="9" max="9" width="20.140625" customWidth="1"/>
  </cols>
  <sheetData>
    <row r="1" spans="1:26" ht="23.25">
      <c r="A1" s="59" t="s">
        <v>0</v>
      </c>
      <c r="B1" s="60"/>
      <c r="C1" s="60"/>
      <c r="D1" s="60"/>
      <c r="E1" s="60"/>
      <c r="F1" s="60"/>
      <c r="G1" s="61"/>
      <c r="M1">
        <v>1</v>
      </c>
      <c r="Z1" s="44" t="s">
        <v>183</v>
      </c>
    </row>
    <row r="2" spans="1:26">
      <c r="A2" s="1"/>
      <c r="B2" s="2"/>
      <c r="C2" s="2"/>
      <c r="D2" s="62" t="s">
        <v>1</v>
      </c>
      <c r="E2" s="62"/>
      <c r="F2" s="3"/>
      <c r="G2" s="4"/>
      <c r="Z2" t="s">
        <v>2</v>
      </c>
    </row>
    <row r="3" spans="1:26">
      <c r="Z3" t="s">
        <v>3</v>
      </c>
    </row>
    <row r="4" spans="1:26">
      <c r="A4" s="5" t="s">
        <v>6</v>
      </c>
      <c r="B4" s="6" t="s">
        <v>7</v>
      </c>
      <c r="C4" s="6" t="s">
        <v>8</v>
      </c>
      <c r="D4" s="6" t="s">
        <v>9</v>
      </c>
      <c r="E4" s="7" t="s">
        <v>10</v>
      </c>
      <c r="Z4" t="s">
        <v>4</v>
      </c>
    </row>
    <row r="5" spans="1:26">
      <c r="A5" s="8">
        <v>40918</v>
      </c>
      <c r="B5" s="9" t="s">
        <v>11</v>
      </c>
      <c r="C5" s="11" t="s">
        <v>12</v>
      </c>
      <c r="D5" s="12" t="s">
        <v>13</v>
      </c>
      <c r="E5" s="13">
        <v>38157.339999999997</v>
      </c>
      <c r="G5" s="63" t="s">
        <v>217</v>
      </c>
      <c r="H5" s="63"/>
      <c r="I5" s="31"/>
      <c r="Z5" t="s">
        <v>5</v>
      </c>
    </row>
    <row r="6" spans="1:26">
      <c r="A6" s="8">
        <v>40919</v>
      </c>
      <c r="B6" s="9" t="s">
        <v>14</v>
      </c>
      <c r="C6" s="11" t="s">
        <v>12</v>
      </c>
      <c r="D6" s="11" t="s">
        <v>13</v>
      </c>
      <c r="E6" s="14">
        <v>449.75</v>
      </c>
      <c r="G6" s="57" t="s">
        <v>160</v>
      </c>
      <c r="H6" s="57"/>
      <c r="I6" s="31" t="str">
        <f>IF(M1=1,"R$ 135.093,00",IF(M1=2,"R$ 179.560,52",IF(M1=3,"R$ 183.754,32",IF(M1=4,"R$ 175.603,47",IF(M1=5,"R$ 149.667,48")))))</f>
        <v>R$ 135.093,00</v>
      </c>
    </row>
    <row r="7" spans="1:26">
      <c r="A7" s="15">
        <v>40924</v>
      </c>
      <c r="B7" s="16" t="s">
        <v>17</v>
      </c>
      <c r="C7" s="11" t="s">
        <v>16</v>
      </c>
      <c r="D7" s="11" t="s">
        <v>18</v>
      </c>
      <c r="E7" s="17">
        <v>26989.09</v>
      </c>
      <c r="G7" s="56" t="s">
        <v>182</v>
      </c>
      <c r="H7" s="56"/>
      <c r="I7" s="32" t="str">
        <f>IF(M1=1,"R$ 152.845,35",IF(M1=2,"R$ 141.530,80",IF(M1=3,"R$ 162.427,95",IF(M1=4,"R$ 165.725,50",IF(M1=5,"R$ 148.873,74")))))</f>
        <v>R$ 152.845,35</v>
      </c>
    </row>
    <row r="8" spans="1:26">
      <c r="A8" s="18">
        <v>40924</v>
      </c>
      <c r="B8" s="19" t="s">
        <v>19</v>
      </c>
      <c r="C8" s="11" t="s">
        <v>16</v>
      </c>
      <c r="D8" s="11" t="s">
        <v>18</v>
      </c>
      <c r="E8" s="20">
        <v>5978.4</v>
      </c>
      <c r="G8" s="57" t="s">
        <v>161</v>
      </c>
      <c r="H8" s="57"/>
      <c r="I8" s="31" t="str">
        <f>IF(M1=1,"R$ 126.435,70",IF(M1=2,"R$ 155.532,29",IF(M1=3,"R$ 166.033,52",IF(M1=4,"R$ 138.835,25",IF(M1=5,"R$ 224.557,30")))))</f>
        <v>R$ 126.435,70</v>
      </c>
    </row>
    <row r="9" spans="1:26">
      <c r="A9" s="18">
        <v>40924</v>
      </c>
      <c r="B9" s="19" t="s">
        <v>20</v>
      </c>
      <c r="C9" s="11" t="s">
        <v>16</v>
      </c>
      <c r="D9" s="11" t="s">
        <v>18</v>
      </c>
      <c r="E9" s="20">
        <v>97749.35</v>
      </c>
      <c r="G9" s="58"/>
      <c r="H9" s="58"/>
      <c r="I9" s="33"/>
    </row>
    <row r="10" spans="1:26">
      <c r="A10" s="18">
        <v>40924</v>
      </c>
      <c r="B10" s="19" t="s">
        <v>21</v>
      </c>
      <c r="C10" s="11" t="s">
        <v>16</v>
      </c>
      <c r="D10" s="11" t="s">
        <v>18</v>
      </c>
      <c r="E10" s="20">
        <v>21859.27</v>
      </c>
    </row>
    <row r="11" spans="1:26">
      <c r="A11" s="15">
        <v>40924</v>
      </c>
      <c r="B11" s="16" t="s">
        <v>22</v>
      </c>
      <c r="C11" s="11" t="s">
        <v>12</v>
      </c>
      <c r="D11" s="11" t="s">
        <v>18</v>
      </c>
      <c r="E11" s="17">
        <v>7304.92</v>
      </c>
    </row>
    <row r="12" spans="1:26">
      <c r="A12" s="18">
        <v>40924</v>
      </c>
      <c r="B12" s="19" t="s">
        <v>23</v>
      </c>
      <c r="C12" s="11" t="s">
        <v>12</v>
      </c>
      <c r="D12" s="11" t="s">
        <v>18</v>
      </c>
      <c r="E12" s="20">
        <v>4531.5</v>
      </c>
    </row>
    <row r="13" spans="1:26">
      <c r="A13" s="18">
        <v>40924</v>
      </c>
      <c r="B13" s="19" t="s">
        <v>24</v>
      </c>
      <c r="C13" s="11" t="s">
        <v>12</v>
      </c>
      <c r="D13" s="11" t="s">
        <v>18</v>
      </c>
      <c r="E13" s="20">
        <v>59267.69</v>
      </c>
    </row>
    <row r="14" spans="1:26">
      <c r="A14" s="18">
        <v>40924</v>
      </c>
      <c r="B14" s="19" t="s">
        <v>25</v>
      </c>
      <c r="C14" s="11" t="s">
        <v>12</v>
      </c>
      <c r="D14" s="11" t="s">
        <v>18</v>
      </c>
      <c r="E14" s="20">
        <v>4895.96</v>
      </c>
    </row>
    <row r="15" spans="1:26">
      <c r="A15" s="15">
        <v>40924</v>
      </c>
      <c r="B15" s="16" t="s">
        <v>26</v>
      </c>
      <c r="C15" s="11" t="s">
        <v>15</v>
      </c>
      <c r="D15" s="11" t="s">
        <v>18</v>
      </c>
      <c r="E15" s="17">
        <v>19559.939999999999</v>
      </c>
    </row>
    <row r="16" spans="1:26">
      <c r="A16" s="18">
        <v>40924</v>
      </c>
      <c r="B16" s="19" t="s">
        <v>27</v>
      </c>
      <c r="C16" s="11" t="s">
        <v>15</v>
      </c>
      <c r="D16" s="11" t="s">
        <v>18</v>
      </c>
      <c r="E16" s="20">
        <v>5342.4</v>
      </c>
    </row>
    <row r="17" spans="1:5">
      <c r="A17" s="18">
        <v>40924</v>
      </c>
      <c r="B17" s="19" t="s">
        <v>28</v>
      </c>
      <c r="C17" s="11" t="s">
        <v>15</v>
      </c>
      <c r="D17" s="11" t="s">
        <v>18</v>
      </c>
      <c r="E17" s="20">
        <v>93742.34</v>
      </c>
    </row>
    <row r="18" spans="1:5">
      <c r="A18" s="18">
        <v>40924</v>
      </c>
      <c r="B18" s="19" t="s">
        <v>29</v>
      </c>
      <c r="C18" s="11" t="s">
        <v>15</v>
      </c>
      <c r="D18" s="11" t="s">
        <v>18</v>
      </c>
      <c r="E18" s="20">
        <v>16347.62</v>
      </c>
    </row>
    <row r="19" spans="1:5">
      <c r="A19" s="18">
        <v>40928</v>
      </c>
      <c r="B19" s="19" t="s">
        <v>30</v>
      </c>
      <c r="C19" s="11" t="s">
        <v>12</v>
      </c>
      <c r="D19" s="19" t="s">
        <v>31</v>
      </c>
      <c r="E19" s="20">
        <v>11828.54</v>
      </c>
    </row>
    <row r="20" spans="1:5">
      <c r="A20" s="18">
        <v>40928</v>
      </c>
      <c r="B20" s="19" t="s">
        <v>32</v>
      </c>
      <c r="C20" s="11" t="s">
        <v>16</v>
      </c>
      <c r="D20" s="19" t="s">
        <v>31</v>
      </c>
      <c r="E20" s="20">
        <v>269.24</v>
      </c>
    </row>
    <row r="21" spans="1:5">
      <c r="A21" s="18">
        <v>40931</v>
      </c>
      <c r="B21" s="19" t="s">
        <v>33</v>
      </c>
      <c r="C21" s="11" t="s">
        <v>15</v>
      </c>
      <c r="D21" s="19" t="s">
        <v>31</v>
      </c>
      <c r="E21" s="20">
        <v>100.7</v>
      </c>
    </row>
    <row r="22" spans="1:5">
      <c r="A22" s="19"/>
      <c r="B22" s="19"/>
      <c r="C22" s="19"/>
      <c r="D22" s="19"/>
      <c r="E22" s="19"/>
    </row>
    <row r="23" spans="1:5">
      <c r="A23" s="19"/>
      <c r="B23" s="19"/>
      <c r="C23" s="19"/>
      <c r="D23" s="19"/>
      <c r="E23" s="19"/>
    </row>
    <row r="24" spans="1:5">
      <c r="A24" s="19"/>
      <c r="B24" s="19"/>
      <c r="C24" s="19"/>
      <c r="D24" s="19"/>
      <c r="E24" s="19"/>
    </row>
    <row r="25" spans="1:5">
      <c r="A25" s="19"/>
      <c r="B25" s="19"/>
      <c r="C25" s="19"/>
      <c r="D25" s="19"/>
      <c r="E25" s="19"/>
    </row>
    <row r="26" spans="1:5">
      <c r="A26" s="19"/>
      <c r="B26" s="19"/>
      <c r="C26" s="19"/>
      <c r="D26" s="19"/>
      <c r="E26" s="19"/>
    </row>
    <row r="27" spans="1:5">
      <c r="A27" s="19"/>
      <c r="B27" s="19"/>
      <c r="C27" s="19"/>
      <c r="D27" s="19"/>
      <c r="E27" s="19"/>
    </row>
    <row r="28" spans="1:5">
      <c r="A28" s="19"/>
      <c r="B28" s="19"/>
      <c r="C28" s="19"/>
      <c r="D28" s="19"/>
      <c r="E28" s="19"/>
    </row>
    <row r="29" spans="1:5">
      <c r="A29" s="19"/>
      <c r="B29" s="19"/>
      <c r="C29" s="19"/>
      <c r="D29" s="19"/>
      <c r="E29" s="19"/>
    </row>
    <row r="30" spans="1:5">
      <c r="A30" s="19"/>
      <c r="B30" s="19"/>
      <c r="C30" s="19"/>
      <c r="D30" s="19"/>
      <c r="E30" s="19"/>
    </row>
    <row r="31" spans="1:5">
      <c r="A31" s="19"/>
      <c r="B31" s="19"/>
      <c r="C31" s="19"/>
      <c r="D31" s="19"/>
      <c r="E31" s="19"/>
    </row>
  </sheetData>
  <mergeCells count="7">
    <mergeCell ref="G7:H7"/>
    <mergeCell ref="G8:H8"/>
    <mergeCell ref="G9:H9"/>
    <mergeCell ref="A1:G1"/>
    <mergeCell ref="D2:E2"/>
    <mergeCell ref="G5:H5"/>
    <mergeCell ref="G6:H6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K11"/>
  <sheetViews>
    <sheetView workbookViewId="0">
      <selection activeCell="F3" sqref="F3"/>
    </sheetView>
  </sheetViews>
  <sheetFormatPr defaultRowHeight="15"/>
  <cols>
    <col min="1" max="1" width="30.42578125" customWidth="1"/>
    <col min="3" max="3" width="23.140625" customWidth="1"/>
    <col min="4" max="4" width="19.7109375" customWidth="1"/>
    <col min="5" max="5" width="19.28515625" customWidth="1"/>
  </cols>
  <sheetData>
    <row r="1" spans="1:11" ht="15.75">
      <c r="A1" s="66" t="s">
        <v>9</v>
      </c>
      <c r="B1" s="66" t="s">
        <v>179</v>
      </c>
      <c r="C1" s="65" t="s">
        <v>180</v>
      </c>
      <c r="D1" s="65"/>
      <c r="E1" s="65"/>
      <c r="F1" s="45" t="s">
        <v>184</v>
      </c>
      <c r="K1">
        <v>4</v>
      </c>
    </row>
    <row r="2" spans="1:11" s="47" customFormat="1">
      <c r="A2" s="67"/>
      <c r="B2" s="67"/>
      <c r="C2" s="42" t="s">
        <v>181</v>
      </c>
      <c r="D2" s="42" t="s">
        <v>12</v>
      </c>
      <c r="E2" s="42" t="s">
        <v>182</v>
      </c>
      <c r="F2" s="46"/>
    </row>
    <row r="3" spans="1:11">
      <c r="A3" s="34" t="s">
        <v>163</v>
      </c>
      <c r="B3" s="37" t="s">
        <v>171</v>
      </c>
      <c r="C3" s="40">
        <v>23765.180000000004</v>
      </c>
      <c r="D3" s="40">
        <v>15459.73</v>
      </c>
      <c r="E3" s="40">
        <v>37068.769999999997</v>
      </c>
    </row>
    <row r="4" spans="1:11">
      <c r="A4" s="35" t="s">
        <v>164</v>
      </c>
      <c r="B4" s="38" t="s">
        <v>172</v>
      </c>
      <c r="C4" s="40">
        <v>9953.4</v>
      </c>
      <c r="D4" s="40">
        <v>3987.7200000000003</v>
      </c>
      <c r="E4" s="40">
        <v>7279.02</v>
      </c>
    </row>
    <row r="5" spans="1:11">
      <c r="A5" s="35" t="s">
        <v>165</v>
      </c>
      <c r="B5" s="38" t="s">
        <v>173</v>
      </c>
      <c r="C5" s="40">
        <v>75599.920000000013</v>
      </c>
      <c r="D5" s="40">
        <v>41995.180000000008</v>
      </c>
      <c r="E5" s="40">
        <v>78336.549999999988</v>
      </c>
    </row>
    <row r="6" spans="1:11">
      <c r="A6" s="35" t="s">
        <v>166</v>
      </c>
      <c r="B6" s="38" t="s">
        <v>174</v>
      </c>
      <c r="C6" s="40">
        <v>24027.07</v>
      </c>
      <c r="D6" s="40">
        <v>0</v>
      </c>
      <c r="E6" s="40">
        <v>1158.47</v>
      </c>
    </row>
    <row r="7" spans="1:11">
      <c r="A7" s="35" t="s">
        <v>167</v>
      </c>
      <c r="B7" s="38" t="s">
        <v>175</v>
      </c>
      <c r="C7" s="40">
        <v>55.12</v>
      </c>
      <c r="D7" s="40">
        <v>9283.48</v>
      </c>
      <c r="E7" s="40">
        <v>291.5</v>
      </c>
    </row>
    <row r="8" spans="1:11">
      <c r="A8" s="35" t="s">
        <v>168</v>
      </c>
      <c r="B8" s="38" t="s">
        <v>176</v>
      </c>
      <c r="C8" s="40">
        <v>10264.1</v>
      </c>
      <c r="D8" s="40">
        <v>4188.1899999999996</v>
      </c>
      <c r="E8" s="40">
        <v>17900.760000000002</v>
      </c>
    </row>
    <row r="9" spans="1:11">
      <c r="A9" s="35" t="s">
        <v>169</v>
      </c>
      <c r="B9" s="38" t="s">
        <v>177</v>
      </c>
      <c r="C9" s="40">
        <v>1577.81</v>
      </c>
      <c r="D9" s="40">
        <v>1971.13</v>
      </c>
      <c r="E9" s="40">
        <v>4597.9000000000005</v>
      </c>
    </row>
    <row r="10" spans="1:11">
      <c r="A10" s="36" t="s">
        <v>170</v>
      </c>
      <c r="B10" s="39" t="s">
        <v>178</v>
      </c>
      <c r="C10" s="40">
        <v>8744.369999999999</v>
      </c>
      <c r="D10" s="40">
        <v>2884.2000000000003</v>
      </c>
      <c r="E10" s="40">
        <v>19092.53</v>
      </c>
    </row>
    <row r="11" spans="1:11" ht="15.75">
      <c r="A11" s="64" t="s">
        <v>162</v>
      </c>
      <c r="B11" s="64"/>
      <c r="C11" s="43">
        <v>153986.97</v>
      </c>
      <c r="D11" s="43">
        <v>79769.63</v>
      </c>
      <c r="E11" s="43">
        <v>165725.49999999997</v>
      </c>
    </row>
  </sheetData>
  <mergeCells count="4">
    <mergeCell ref="A11:B11"/>
    <mergeCell ref="C1:E1"/>
    <mergeCell ref="A1:A2"/>
    <mergeCell ref="B1:B2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5"/>
  <dimension ref="A1:I16"/>
  <sheetViews>
    <sheetView workbookViewId="0">
      <selection activeCell="A17" sqref="A17"/>
    </sheetView>
  </sheetViews>
  <sheetFormatPr defaultRowHeight="15"/>
  <cols>
    <col min="1" max="1" width="9.85546875" bestFit="1" customWidth="1"/>
    <col min="2" max="2" width="9.5703125" bestFit="1" customWidth="1"/>
    <col min="3" max="3" width="19.28515625" bestFit="1" customWidth="1"/>
    <col min="4" max="4" width="21" bestFit="1" customWidth="1"/>
    <col min="5" max="5" width="12.42578125" bestFit="1" customWidth="1"/>
    <col min="6" max="6" width="18.7109375" bestFit="1" customWidth="1"/>
    <col min="7" max="7" width="14.85546875" bestFit="1" customWidth="1"/>
    <col min="8" max="8" width="11.5703125" bestFit="1" customWidth="1"/>
    <col min="9" max="9" width="33.5703125" bestFit="1" customWidth="1"/>
  </cols>
  <sheetData>
    <row r="1" spans="1:9" ht="15.75">
      <c r="A1" s="68" t="s">
        <v>215</v>
      </c>
      <c r="B1" s="68"/>
      <c r="C1" s="68"/>
      <c r="D1" s="68"/>
      <c r="E1" s="68"/>
      <c r="F1" s="68"/>
      <c r="G1" s="68"/>
      <c r="H1" s="68"/>
      <c r="I1" s="68"/>
    </row>
    <row r="2" spans="1:9">
      <c r="A2" s="41" t="s">
        <v>185</v>
      </c>
      <c r="B2" s="41" t="s">
        <v>186</v>
      </c>
      <c r="C2" s="41" t="s">
        <v>187</v>
      </c>
      <c r="D2" s="41" t="s">
        <v>188</v>
      </c>
      <c r="E2" s="41" t="s">
        <v>189</v>
      </c>
      <c r="F2" s="41" t="s">
        <v>190</v>
      </c>
      <c r="G2" s="41" t="s">
        <v>191</v>
      </c>
      <c r="H2" s="41" t="s">
        <v>192</v>
      </c>
      <c r="I2" s="41" t="s">
        <v>193</v>
      </c>
    </row>
    <row r="3" spans="1:9">
      <c r="A3" s="50" t="s">
        <v>194</v>
      </c>
      <c r="B3" s="50" t="s">
        <v>195</v>
      </c>
      <c r="C3" s="50" t="s">
        <v>196</v>
      </c>
      <c r="D3" s="49">
        <v>-188907.67</v>
      </c>
      <c r="E3" s="49">
        <v>409147.51</v>
      </c>
      <c r="F3" s="49">
        <v>289166.15000000002</v>
      </c>
      <c r="G3" s="49">
        <v>308889.03000000003</v>
      </c>
      <c r="H3" t="s">
        <v>197</v>
      </c>
      <c r="I3" s="50" t="s">
        <v>198</v>
      </c>
    </row>
    <row r="4" spans="1:9">
      <c r="A4" s="50" t="s">
        <v>194</v>
      </c>
      <c r="B4" s="50" t="s">
        <v>195</v>
      </c>
      <c r="C4" s="50" t="s">
        <v>196</v>
      </c>
      <c r="D4" s="49">
        <v>-68742.149999999994</v>
      </c>
      <c r="E4" s="49">
        <v>129614.82</v>
      </c>
      <c r="F4" s="49">
        <v>109638.15</v>
      </c>
      <c r="G4" s="49">
        <v>88718.82</v>
      </c>
      <c r="H4" t="s">
        <v>199</v>
      </c>
      <c r="I4" s="50" t="s">
        <v>200</v>
      </c>
    </row>
    <row r="5" spans="1:9">
      <c r="A5" s="50" t="s">
        <v>194</v>
      </c>
      <c r="B5" s="50" t="s">
        <v>195</v>
      </c>
      <c r="C5" s="50" t="s">
        <v>196</v>
      </c>
      <c r="D5" s="49"/>
      <c r="E5" s="49">
        <v>50823.13</v>
      </c>
      <c r="F5" s="49">
        <v>18397.259999999998</v>
      </c>
      <c r="G5" s="49">
        <v>32425.87</v>
      </c>
      <c r="H5" t="s">
        <v>201</v>
      </c>
      <c r="I5" s="50" t="s">
        <v>202</v>
      </c>
    </row>
    <row r="6" spans="1:9" hidden="1">
      <c r="A6" s="50" t="s">
        <v>194</v>
      </c>
      <c r="B6" s="50" t="s">
        <v>195</v>
      </c>
      <c r="C6" s="50" t="s">
        <v>196</v>
      </c>
      <c r="D6" s="49">
        <v>13446.38</v>
      </c>
      <c r="E6" s="49">
        <v>13446.38</v>
      </c>
      <c r="H6" t="s">
        <v>203</v>
      </c>
      <c r="I6" s="50" t="s">
        <v>204</v>
      </c>
    </row>
    <row r="7" spans="1:9">
      <c r="A7" s="50" t="s">
        <v>194</v>
      </c>
      <c r="B7" s="50" t="s">
        <v>195</v>
      </c>
      <c r="C7" s="50" t="s">
        <v>196</v>
      </c>
      <c r="D7" s="49">
        <v>57697.08</v>
      </c>
      <c r="E7" s="49">
        <v>212663.24</v>
      </c>
      <c r="F7" s="49">
        <v>-40340.080000000002</v>
      </c>
      <c r="G7" s="49">
        <v>195306.23999999999</v>
      </c>
      <c r="H7" t="s">
        <v>205</v>
      </c>
      <c r="I7" s="50" t="s">
        <v>206</v>
      </c>
    </row>
    <row r="8" spans="1:9">
      <c r="A8" s="50" t="s">
        <v>207</v>
      </c>
      <c r="B8" s="50" t="s">
        <v>195</v>
      </c>
      <c r="C8" s="50" t="s">
        <v>208</v>
      </c>
      <c r="D8">
        <v>0.01</v>
      </c>
      <c r="E8" s="49">
        <v>1065509.1100000001</v>
      </c>
      <c r="F8" s="49">
        <v>48163.92</v>
      </c>
      <c r="G8" s="49">
        <v>1017345.18</v>
      </c>
      <c r="H8" t="s">
        <v>209</v>
      </c>
      <c r="I8" s="50" t="s">
        <v>210</v>
      </c>
    </row>
    <row r="9" spans="1:9">
      <c r="A9" s="50" t="s">
        <v>207</v>
      </c>
      <c r="B9" s="50" t="s">
        <v>195</v>
      </c>
      <c r="C9" s="50" t="s">
        <v>208</v>
      </c>
      <c r="D9" s="49">
        <v>-102549.11</v>
      </c>
      <c r="E9" s="49">
        <v>99994.74</v>
      </c>
      <c r="F9" s="49">
        <v>60613.64</v>
      </c>
      <c r="G9" s="49">
        <v>141930.21</v>
      </c>
      <c r="H9" t="s">
        <v>211</v>
      </c>
      <c r="I9" s="50" t="s">
        <v>212</v>
      </c>
    </row>
    <row r="10" spans="1:9">
      <c r="A10" s="50" t="s">
        <v>207</v>
      </c>
      <c r="B10" s="50" t="s">
        <v>195</v>
      </c>
      <c r="C10" s="50" t="s">
        <v>208</v>
      </c>
      <c r="D10" s="49">
        <v>-26855.13</v>
      </c>
      <c r="E10" s="49">
        <v>41729.22</v>
      </c>
      <c r="F10" s="49">
        <v>32376.34</v>
      </c>
      <c r="G10" s="49">
        <v>36208.01</v>
      </c>
      <c r="H10" s="51" t="s">
        <v>213</v>
      </c>
      <c r="I10" s="50" t="s">
        <v>214</v>
      </c>
    </row>
    <row r="11" spans="1:9" ht="15.75">
      <c r="A11" s="69" t="s">
        <v>216</v>
      </c>
      <c r="B11" s="69"/>
      <c r="C11" s="69"/>
      <c r="D11" s="69"/>
      <c r="E11" s="69"/>
      <c r="F11" s="69"/>
      <c r="G11" s="69"/>
      <c r="H11" s="69"/>
      <c r="I11" s="69"/>
    </row>
    <row r="12" spans="1:9">
      <c r="A12" s="41" t="s">
        <v>185</v>
      </c>
      <c r="B12" s="41" t="s">
        <v>186</v>
      </c>
      <c r="C12" s="41" t="s">
        <v>187</v>
      </c>
      <c r="D12" s="41" t="s">
        <v>188</v>
      </c>
      <c r="E12" s="41" t="s">
        <v>189</v>
      </c>
      <c r="F12" s="41" t="s">
        <v>190</v>
      </c>
      <c r="G12" s="41" t="s">
        <v>191</v>
      </c>
      <c r="H12" s="41" t="s">
        <v>192</v>
      </c>
      <c r="I12" s="41" t="s">
        <v>193</v>
      </c>
    </row>
    <row r="13" spans="1:9">
      <c r="A13" s="50" t="s">
        <v>218</v>
      </c>
      <c r="B13" s="50" t="s">
        <v>195</v>
      </c>
      <c r="C13" s="50" t="s">
        <v>219</v>
      </c>
      <c r="D13" s="49">
        <v>2110.06</v>
      </c>
      <c r="E13" s="49">
        <v>419033.81</v>
      </c>
      <c r="F13" s="49">
        <v>114053</v>
      </c>
      <c r="G13" s="49">
        <v>302870.75</v>
      </c>
      <c r="H13" t="s">
        <v>220</v>
      </c>
      <c r="I13" s="50" t="s">
        <v>221</v>
      </c>
    </row>
    <row r="14" spans="1:9" ht="15.75">
      <c r="A14" s="70" t="s">
        <v>222</v>
      </c>
      <c r="B14" s="70"/>
      <c r="C14" s="70"/>
      <c r="D14" s="70"/>
      <c r="E14" s="70"/>
      <c r="F14" s="70"/>
      <c r="G14" s="70"/>
      <c r="H14" s="70"/>
      <c r="I14" s="70"/>
    </row>
    <row r="15" spans="1:9">
      <c r="A15" s="41" t="s">
        <v>185</v>
      </c>
      <c r="B15" s="41" t="s">
        <v>186</v>
      </c>
      <c r="C15" s="41" t="s">
        <v>187</v>
      </c>
      <c r="D15" s="41" t="s">
        <v>188</v>
      </c>
      <c r="E15" s="41" t="s">
        <v>189</v>
      </c>
      <c r="F15" s="41" t="s">
        <v>190</v>
      </c>
      <c r="G15" s="41" t="s">
        <v>191</v>
      </c>
      <c r="H15" s="41" t="s">
        <v>192</v>
      </c>
      <c r="I15" s="41" t="s">
        <v>193</v>
      </c>
    </row>
    <row r="16" spans="1:9" ht="17.25" customHeight="1">
      <c r="A16" s="50" t="s">
        <v>225</v>
      </c>
      <c r="B16" s="52">
        <v>339903</v>
      </c>
      <c r="C16" s="55" t="s">
        <v>223</v>
      </c>
      <c r="D16" s="53">
        <v>52283.85</v>
      </c>
      <c r="E16" s="53">
        <v>188381.6</v>
      </c>
      <c r="F16" s="53">
        <v>39091.9</v>
      </c>
      <c r="G16" s="54">
        <v>97</v>
      </c>
      <c r="H16" t="s">
        <v>224</v>
      </c>
      <c r="I16" t="s">
        <v>31</v>
      </c>
    </row>
  </sheetData>
  <mergeCells count="3">
    <mergeCell ref="A1:I1"/>
    <mergeCell ref="A11:I11"/>
    <mergeCell ref="A14:I14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/>
  <dimension ref="A100:E298"/>
  <sheetViews>
    <sheetView topLeftCell="A88" workbookViewId="0">
      <selection activeCell="A100" sqref="A100:E127"/>
    </sheetView>
  </sheetViews>
  <sheetFormatPr defaultRowHeight="15"/>
  <cols>
    <col min="1" max="1" width="12.5703125" customWidth="1"/>
    <col min="2" max="2" width="14.85546875" customWidth="1"/>
    <col min="3" max="3" width="13.5703125" customWidth="1"/>
  </cols>
  <sheetData>
    <row r="100" spans="1:5">
      <c r="A100" s="5" t="s">
        <v>6</v>
      </c>
      <c r="B100" s="6" t="s">
        <v>7</v>
      </c>
      <c r="C100" s="6" t="s">
        <v>8</v>
      </c>
      <c r="D100" s="6" t="s">
        <v>9</v>
      </c>
      <c r="E100" s="7" t="s">
        <v>10</v>
      </c>
    </row>
    <row r="101" spans="1:5">
      <c r="A101" s="8">
        <v>40918</v>
      </c>
      <c r="B101" s="9" t="s">
        <v>11</v>
      </c>
      <c r="C101" s="11" t="s">
        <v>12</v>
      </c>
      <c r="D101" s="12" t="s">
        <v>13</v>
      </c>
      <c r="E101" s="13">
        <v>38157.339999999997</v>
      </c>
    </row>
    <row r="102" spans="1:5">
      <c r="A102" s="8">
        <v>40919</v>
      </c>
      <c r="B102" s="9" t="s">
        <v>14</v>
      </c>
      <c r="C102" s="11" t="s">
        <v>12</v>
      </c>
      <c r="D102" s="11" t="s">
        <v>13</v>
      </c>
      <c r="E102" s="14">
        <v>449.75</v>
      </c>
    </row>
    <row r="103" spans="1:5">
      <c r="A103" s="15">
        <v>40924</v>
      </c>
      <c r="B103" s="16" t="s">
        <v>17</v>
      </c>
      <c r="C103" s="11" t="s">
        <v>16</v>
      </c>
      <c r="D103" s="11" t="s">
        <v>18</v>
      </c>
      <c r="E103" s="17">
        <v>26989.09</v>
      </c>
    </row>
    <row r="104" spans="1:5">
      <c r="A104" s="18">
        <v>40924</v>
      </c>
      <c r="B104" s="19" t="s">
        <v>19</v>
      </c>
      <c r="C104" s="11" t="s">
        <v>16</v>
      </c>
      <c r="D104" s="11" t="s">
        <v>18</v>
      </c>
      <c r="E104" s="20">
        <v>5978.4</v>
      </c>
    </row>
    <row r="105" spans="1:5">
      <c r="A105" s="18">
        <v>40924</v>
      </c>
      <c r="B105" s="19" t="s">
        <v>20</v>
      </c>
      <c r="C105" s="11" t="s">
        <v>16</v>
      </c>
      <c r="D105" s="11" t="s">
        <v>18</v>
      </c>
      <c r="E105" s="20">
        <v>97749.35</v>
      </c>
    </row>
    <row r="106" spans="1:5">
      <c r="A106" s="18">
        <v>40924</v>
      </c>
      <c r="B106" s="19" t="s">
        <v>21</v>
      </c>
      <c r="C106" s="11" t="s">
        <v>16</v>
      </c>
      <c r="D106" s="11" t="s">
        <v>18</v>
      </c>
      <c r="E106" s="20">
        <v>21859.27</v>
      </c>
    </row>
    <row r="107" spans="1:5">
      <c r="A107" s="15">
        <v>40924</v>
      </c>
      <c r="B107" s="16" t="s">
        <v>22</v>
      </c>
      <c r="C107" s="11" t="s">
        <v>12</v>
      </c>
      <c r="D107" s="11" t="s">
        <v>18</v>
      </c>
      <c r="E107" s="17">
        <v>7304.92</v>
      </c>
    </row>
    <row r="108" spans="1:5">
      <c r="A108" s="18">
        <v>40924</v>
      </c>
      <c r="B108" s="19" t="s">
        <v>23</v>
      </c>
      <c r="C108" s="11" t="s">
        <v>12</v>
      </c>
      <c r="D108" s="11" t="s">
        <v>18</v>
      </c>
      <c r="E108" s="20">
        <v>4531.5</v>
      </c>
    </row>
    <row r="109" spans="1:5">
      <c r="A109" s="18">
        <v>40924</v>
      </c>
      <c r="B109" s="19" t="s">
        <v>24</v>
      </c>
      <c r="C109" s="11" t="s">
        <v>12</v>
      </c>
      <c r="D109" s="11" t="s">
        <v>18</v>
      </c>
      <c r="E109" s="20">
        <v>59267.69</v>
      </c>
    </row>
    <row r="110" spans="1:5">
      <c r="A110" s="18">
        <v>40924</v>
      </c>
      <c r="B110" s="19" t="s">
        <v>25</v>
      </c>
      <c r="C110" s="11" t="s">
        <v>12</v>
      </c>
      <c r="D110" s="11" t="s">
        <v>18</v>
      </c>
      <c r="E110" s="20">
        <v>4895.96</v>
      </c>
    </row>
    <row r="111" spans="1:5">
      <c r="A111" s="15">
        <v>40924</v>
      </c>
      <c r="B111" s="16" t="s">
        <v>26</v>
      </c>
      <c r="C111" s="11" t="s">
        <v>15</v>
      </c>
      <c r="D111" s="11" t="s">
        <v>18</v>
      </c>
      <c r="E111" s="17">
        <v>19559.939999999999</v>
      </c>
    </row>
    <row r="112" spans="1:5">
      <c r="A112" s="18">
        <v>40924</v>
      </c>
      <c r="B112" s="19" t="s">
        <v>27</v>
      </c>
      <c r="C112" s="11" t="s">
        <v>15</v>
      </c>
      <c r="D112" s="11" t="s">
        <v>18</v>
      </c>
      <c r="E112" s="20">
        <v>5342.4</v>
      </c>
    </row>
    <row r="113" spans="1:5">
      <c r="A113" s="18">
        <v>40924</v>
      </c>
      <c r="B113" s="19" t="s">
        <v>28</v>
      </c>
      <c r="C113" s="11" t="s">
        <v>15</v>
      </c>
      <c r="D113" s="11" t="s">
        <v>18</v>
      </c>
      <c r="E113" s="20">
        <v>93742.34</v>
      </c>
    </row>
    <row r="114" spans="1:5">
      <c r="A114" s="18">
        <v>40924</v>
      </c>
      <c r="B114" s="19" t="s">
        <v>29</v>
      </c>
      <c r="C114" s="11" t="s">
        <v>15</v>
      </c>
      <c r="D114" s="11" t="s">
        <v>18</v>
      </c>
      <c r="E114" s="20">
        <v>16347.62</v>
      </c>
    </row>
    <row r="115" spans="1:5">
      <c r="A115" s="18">
        <v>40928</v>
      </c>
      <c r="B115" s="19" t="s">
        <v>30</v>
      </c>
      <c r="C115" s="11" t="s">
        <v>12</v>
      </c>
      <c r="D115" s="19" t="s">
        <v>31</v>
      </c>
      <c r="E115" s="20">
        <v>11828.54</v>
      </c>
    </row>
    <row r="116" spans="1:5">
      <c r="A116" s="18">
        <v>40928</v>
      </c>
      <c r="B116" s="19" t="s">
        <v>32</v>
      </c>
      <c r="C116" s="11" t="s">
        <v>16</v>
      </c>
      <c r="D116" s="19" t="s">
        <v>31</v>
      </c>
      <c r="E116" s="20">
        <v>269.24</v>
      </c>
    </row>
    <row r="117" spans="1:5">
      <c r="A117" s="18">
        <v>40931</v>
      </c>
      <c r="B117" s="19" t="s">
        <v>33</v>
      </c>
      <c r="C117" s="11" t="s">
        <v>15</v>
      </c>
      <c r="D117" s="19" t="s">
        <v>31</v>
      </c>
      <c r="E117" s="20">
        <v>100.7</v>
      </c>
    </row>
    <row r="118" spans="1:5">
      <c r="A118" s="19"/>
      <c r="B118" s="19"/>
      <c r="C118" s="19"/>
      <c r="D118" s="19"/>
      <c r="E118" s="19"/>
    </row>
    <row r="119" spans="1:5">
      <c r="A119" s="19"/>
      <c r="B119" s="19"/>
      <c r="C119" s="19"/>
      <c r="D119" s="19"/>
      <c r="E119" s="19"/>
    </row>
    <row r="120" spans="1:5">
      <c r="A120" s="19"/>
      <c r="B120" s="19"/>
      <c r="C120" s="19"/>
      <c r="D120" s="19"/>
      <c r="E120" s="19"/>
    </row>
    <row r="121" spans="1:5">
      <c r="A121" s="19"/>
      <c r="B121" s="19"/>
      <c r="C121" s="19"/>
      <c r="D121" s="19"/>
      <c r="E121" s="19"/>
    </row>
    <row r="122" spans="1:5">
      <c r="A122" s="19"/>
      <c r="B122" s="19"/>
      <c r="C122" s="19"/>
      <c r="D122" s="19"/>
      <c r="E122" s="19"/>
    </row>
    <row r="123" spans="1:5">
      <c r="A123" s="19"/>
      <c r="B123" s="19"/>
      <c r="C123" s="19"/>
      <c r="D123" s="19"/>
      <c r="E123" s="19"/>
    </row>
    <row r="124" spans="1:5">
      <c r="A124" s="19"/>
      <c r="B124" s="19"/>
      <c r="C124" s="19"/>
      <c r="D124" s="19"/>
      <c r="E124" s="19"/>
    </row>
    <row r="125" spans="1:5">
      <c r="A125" s="19"/>
      <c r="B125" s="19"/>
      <c r="C125" s="19"/>
      <c r="D125" s="19"/>
      <c r="E125" s="19"/>
    </row>
    <row r="126" spans="1:5">
      <c r="A126" s="19"/>
      <c r="B126" s="19"/>
      <c r="C126" s="19"/>
      <c r="D126" s="19"/>
      <c r="E126" s="19"/>
    </row>
    <row r="127" spans="1:5">
      <c r="A127" s="19"/>
      <c r="B127" s="19"/>
      <c r="C127" s="19"/>
      <c r="D127" s="19"/>
      <c r="E127" s="19"/>
    </row>
    <row r="129" spans="1:5">
      <c r="A129" s="5" t="s">
        <v>6</v>
      </c>
      <c r="B129" s="6" t="s">
        <v>7</v>
      </c>
      <c r="C129" s="6" t="s">
        <v>8</v>
      </c>
      <c r="D129" s="6" t="s">
        <v>9</v>
      </c>
      <c r="E129" s="7" t="s">
        <v>10</v>
      </c>
    </row>
    <row r="130" spans="1:5">
      <c r="A130" s="21">
        <v>40941</v>
      </c>
      <c r="B130" s="10" t="s">
        <v>34</v>
      </c>
      <c r="C130" s="11" t="s">
        <v>15</v>
      </c>
      <c r="D130" s="11" t="s">
        <v>35</v>
      </c>
      <c r="E130" s="14">
        <v>24660.5</v>
      </c>
    </row>
    <row r="131" spans="1:5">
      <c r="A131" s="21">
        <v>40941</v>
      </c>
      <c r="B131" s="10" t="s">
        <v>36</v>
      </c>
      <c r="C131" s="11" t="s">
        <v>15</v>
      </c>
      <c r="D131" s="11" t="s">
        <v>35</v>
      </c>
      <c r="E131" s="14">
        <v>32797.199999999997</v>
      </c>
    </row>
    <row r="132" spans="1:5">
      <c r="A132" s="8">
        <v>40952</v>
      </c>
      <c r="B132" s="9" t="s">
        <v>37</v>
      </c>
      <c r="C132" s="11" t="s">
        <v>12</v>
      </c>
      <c r="D132" s="11" t="s">
        <v>13</v>
      </c>
      <c r="E132" s="14">
        <v>7071.34</v>
      </c>
    </row>
    <row r="133" spans="1:5">
      <c r="A133" s="8">
        <v>40952</v>
      </c>
      <c r="B133" s="9" t="s">
        <v>38</v>
      </c>
      <c r="C133" s="11" t="s">
        <v>12</v>
      </c>
      <c r="D133" s="11" t="s">
        <v>13</v>
      </c>
      <c r="E133" s="14">
        <v>56750</v>
      </c>
    </row>
    <row r="134" spans="1:5">
      <c r="A134" s="8">
        <v>40952</v>
      </c>
      <c r="B134" s="9" t="s">
        <v>39</v>
      </c>
      <c r="C134" s="11" t="s">
        <v>12</v>
      </c>
      <c r="D134" s="11" t="s">
        <v>40</v>
      </c>
      <c r="E134" s="13">
        <v>9686.35</v>
      </c>
    </row>
    <row r="135" spans="1:5">
      <c r="A135" s="8">
        <v>40952</v>
      </c>
      <c r="B135" s="10" t="s">
        <v>41</v>
      </c>
      <c r="C135" s="11" t="s">
        <v>12</v>
      </c>
      <c r="D135" s="11" t="s">
        <v>42</v>
      </c>
      <c r="E135" s="14">
        <v>4490.16</v>
      </c>
    </row>
    <row r="136" spans="1:5">
      <c r="A136" s="8">
        <v>40952</v>
      </c>
      <c r="B136" s="9" t="s">
        <v>43</v>
      </c>
      <c r="C136" s="11" t="s">
        <v>12</v>
      </c>
      <c r="D136" s="12" t="s">
        <v>44</v>
      </c>
      <c r="E136" s="13">
        <v>3020.63</v>
      </c>
    </row>
    <row r="137" spans="1:5">
      <c r="A137" s="8">
        <v>40952</v>
      </c>
      <c r="B137" s="9" t="s">
        <v>45</v>
      </c>
      <c r="C137" s="11" t="s">
        <v>12</v>
      </c>
      <c r="D137" s="12" t="s">
        <v>31</v>
      </c>
      <c r="E137" s="13">
        <v>12788.9</v>
      </c>
    </row>
    <row r="138" spans="1:5">
      <c r="A138" s="8">
        <v>40952</v>
      </c>
      <c r="B138" s="9" t="s">
        <v>46</v>
      </c>
      <c r="C138" s="11" t="s">
        <v>12</v>
      </c>
      <c r="D138" s="12" t="s">
        <v>47</v>
      </c>
      <c r="E138" s="13">
        <v>61754.91</v>
      </c>
    </row>
    <row r="139" spans="1:5">
      <c r="A139" s="8">
        <v>40952</v>
      </c>
      <c r="B139" s="9" t="s">
        <v>48</v>
      </c>
      <c r="C139" s="11" t="s">
        <v>15</v>
      </c>
      <c r="D139" s="11" t="s">
        <v>40</v>
      </c>
      <c r="E139" s="22">
        <v>18947.63</v>
      </c>
    </row>
    <row r="140" spans="1:5">
      <c r="A140" s="8">
        <v>40952</v>
      </c>
      <c r="B140" s="9" t="s">
        <v>49</v>
      </c>
      <c r="C140" s="11" t="s">
        <v>15</v>
      </c>
      <c r="D140" s="11" t="s">
        <v>50</v>
      </c>
      <c r="E140" s="14">
        <v>5813.04</v>
      </c>
    </row>
    <row r="141" spans="1:5">
      <c r="A141" s="8">
        <v>40952</v>
      </c>
      <c r="B141" s="10" t="s">
        <v>51</v>
      </c>
      <c r="C141" s="11" t="s">
        <v>15</v>
      </c>
      <c r="D141" s="11" t="s">
        <v>31</v>
      </c>
      <c r="E141" s="14">
        <v>76.319999999999993</v>
      </c>
    </row>
    <row r="142" spans="1:5">
      <c r="A142" s="8">
        <v>40952</v>
      </c>
      <c r="B142" s="9" t="s">
        <v>52</v>
      </c>
      <c r="C142" s="11" t="s">
        <v>15</v>
      </c>
      <c r="D142" s="11" t="s">
        <v>53</v>
      </c>
      <c r="E142" s="13">
        <v>87545.03</v>
      </c>
    </row>
    <row r="143" spans="1:5">
      <c r="A143" s="8">
        <v>40952</v>
      </c>
      <c r="B143" s="9" t="s">
        <v>54</v>
      </c>
      <c r="C143" s="11" t="s">
        <v>15</v>
      </c>
      <c r="D143" s="11" t="s">
        <v>55</v>
      </c>
      <c r="E143" s="14">
        <v>9720.7999999999993</v>
      </c>
    </row>
    <row r="144" spans="1:5">
      <c r="A144" s="8">
        <v>40952</v>
      </c>
      <c r="B144" s="9" t="s">
        <v>56</v>
      </c>
      <c r="C144" s="11" t="s">
        <v>16</v>
      </c>
      <c r="D144" s="11" t="s">
        <v>40</v>
      </c>
      <c r="E144" s="14">
        <v>28801.21</v>
      </c>
    </row>
    <row r="145" spans="1:5">
      <c r="A145" s="8">
        <v>40952</v>
      </c>
      <c r="B145" s="9" t="s">
        <v>57</v>
      </c>
      <c r="C145" s="11" t="s">
        <v>16</v>
      </c>
      <c r="D145" s="11" t="s">
        <v>50</v>
      </c>
      <c r="E145" s="14">
        <v>6325.02</v>
      </c>
    </row>
    <row r="146" spans="1:5">
      <c r="A146" s="8">
        <v>40952</v>
      </c>
      <c r="B146" s="9" t="s">
        <v>58</v>
      </c>
      <c r="C146" s="11" t="s">
        <v>16</v>
      </c>
      <c r="D146" s="11" t="s">
        <v>59</v>
      </c>
      <c r="E146" s="14">
        <v>91196.33</v>
      </c>
    </row>
    <row r="147" spans="1:5">
      <c r="A147" s="8">
        <v>40952</v>
      </c>
      <c r="B147" s="9" t="s">
        <v>60</v>
      </c>
      <c r="C147" s="11" t="s">
        <v>16</v>
      </c>
      <c r="D147" s="11" t="s">
        <v>55</v>
      </c>
      <c r="E147" s="14">
        <v>14905.08</v>
      </c>
    </row>
    <row r="148" spans="1:5">
      <c r="A148" s="8">
        <v>40952</v>
      </c>
      <c r="B148" s="9" t="s">
        <v>61</v>
      </c>
      <c r="C148" s="11" t="s">
        <v>16</v>
      </c>
      <c r="D148" s="11" t="s">
        <v>31</v>
      </c>
      <c r="E148" s="14">
        <v>303.16000000000003</v>
      </c>
    </row>
    <row r="149" spans="1:5">
      <c r="A149" s="8"/>
      <c r="B149" s="12"/>
      <c r="C149" s="11"/>
      <c r="D149" s="11"/>
      <c r="E149" s="13"/>
    </row>
    <row r="150" spans="1:5">
      <c r="A150" s="8"/>
      <c r="B150" s="12"/>
      <c r="C150" s="11"/>
      <c r="D150" s="11"/>
      <c r="E150" s="13"/>
    </row>
    <row r="151" spans="1:5">
      <c r="A151" s="21"/>
      <c r="B151" s="11"/>
      <c r="C151" s="11"/>
      <c r="D151" s="11"/>
      <c r="E151" s="14"/>
    </row>
    <row r="152" spans="1:5">
      <c r="A152" s="8"/>
      <c r="B152" s="12"/>
      <c r="C152" s="11"/>
      <c r="D152" s="11"/>
      <c r="E152" s="13"/>
    </row>
    <row r="153" spans="1:5">
      <c r="A153" s="8"/>
      <c r="B153" s="12"/>
      <c r="C153" s="11"/>
      <c r="D153" s="11"/>
      <c r="E153" s="13"/>
    </row>
    <row r="154" spans="1:5">
      <c r="A154" s="8"/>
      <c r="B154" s="12"/>
      <c r="C154" s="11"/>
      <c r="D154" s="11"/>
      <c r="E154" s="13"/>
    </row>
    <row r="155" spans="1:5">
      <c r="A155" s="21"/>
      <c r="B155" s="11"/>
      <c r="C155" s="11"/>
      <c r="D155" s="11"/>
      <c r="E155" s="14"/>
    </row>
    <row r="156" spans="1:5">
      <c r="A156" s="8"/>
      <c r="B156" s="12"/>
      <c r="C156" s="11"/>
      <c r="D156" s="11"/>
      <c r="E156" s="13"/>
    </row>
    <row r="158" spans="1:5">
      <c r="A158" s="5" t="s">
        <v>6</v>
      </c>
      <c r="B158" s="6" t="s">
        <v>7</v>
      </c>
      <c r="C158" s="6" t="s">
        <v>8</v>
      </c>
      <c r="D158" s="6" t="s">
        <v>9</v>
      </c>
      <c r="E158" s="24" t="s">
        <v>10</v>
      </c>
    </row>
    <row r="159" spans="1:5">
      <c r="A159" s="8">
        <v>40969</v>
      </c>
      <c r="B159" s="12" t="s">
        <v>62</v>
      </c>
      <c r="C159" s="11" t="s">
        <v>15</v>
      </c>
      <c r="D159" s="11" t="s">
        <v>35</v>
      </c>
      <c r="E159" s="23">
        <v>25783.25</v>
      </c>
    </row>
    <row r="160" spans="1:5">
      <c r="A160" s="8">
        <v>40974</v>
      </c>
      <c r="B160" s="12" t="s">
        <v>63</v>
      </c>
      <c r="C160" s="11" t="s">
        <v>15</v>
      </c>
      <c r="D160" s="11" t="s">
        <v>64</v>
      </c>
      <c r="E160" s="23">
        <v>8165.03</v>
      </c>
    </row>
    <row r="161" spans="1:5">
      <c r="A161" s="8">
        <v>40974</v>
      </c>
      <c r="B161" s="12" t="s">
        <v>65</v>
      </c>
      <c r="C161" s="11" t="s">
        <v>15</v>
      </c>
      <c r="D161" s="11" t="s">
        <v>66</v>
      </c>
      <c r="E161" s="23">
        <v>12526.32</v>
      </c>
    </row>
    <row r="162" spans="1:5">
      <c r="A162" s="8">
        <v>40974</v>
      </c>
      <c r="B162" s="12" t="s">
        <v>67</v>
      </c>
      <c r="C162" s="11" t="s">
        <v>16</v>
      </c>
      <c r="D162" s="12" t="s">
        <v>64</v>
      </c>
      <c r="E162" s="23">
        <v>8567.19</v>
      </c>
    </row>
    <row r="163" spans="1:5">
      <c r="A163" s="8">
        <v>40980</v>
      </c>
      <c r="B163" s="12" t="s">
        <v>68</v>
      </c>
      <c r="C163" s="11" t="s">
        <v>12</v>
      </c>
      <c r="D163" s="11" t="s">
        <v>42</v>
      </c>
      <c r="E163" s="23">
        <v>4073.58</v>
      </c>
    </row>
    <row r="164" spans="1:5">
      <c r="A164" s="8">
        <v>40980</v>
      </c>
      <c r="B164" s="12" t="s">
        <v>69</v>
      </c>
      <c r="C164" s="11" t="s">
        <v>12</v>
      </c>
      <c r="D164" s="12" t="s">
        <v>47</v>
      </c>
      <c r="E164" s="23">
        <v>44604.07</v>
      </c>
    </row>
    <row r="165" spans="1:5">
      <c r="A165" s="8">
        <v>40980</v>
      </c>
      <c r="B165" s="12" t="s">
        <v>70</v>
      </c>
      <c r="C165" s="11" t="s">
        <v>12</v>
      </c>
      <c r="D165" s="12" t="s">
        <v>44</v>
      </c>
      <c r="E165" s="23">
        <v>3567.03</v>
      </c>
    </row>
    <row r="166" spans="1:5">
      <c r="A166" s="8">
        <v>40980</v>
      </c>
      <c r="B166" s="12" t="s">
        <v>71</v>
      </c>
      <c r="C166" s="11" t="s">
        <v>12</v>
      </c>
      <c r="D166" s="12" t="s">
        <v>31</v>
      </c>
      <c r="E166" s="23">
        <v>11078.06</v>
      </c>
    </row>
    <row r="167" spans="1:5">
      <c r="A167" s="8">
        <v>40980</v>
      </c>
      <c r="B167" s="12" t="s">
        <v>72</v>
      </c>
      <c r="C167" s="11" t="s">
        <v>16</v>
      </c>
      <c r="D167" s="11" t="s">
        <v>50</v>
      </c>
      <c r="E167" s="23">
        <v>6429.96</v>
      </c>
    </row>
    <row r="168" spans="1:5">
      <c r="A168" s="8">
        <v>40980</v>
      </c>
      <c r="B168" s="12" t="s">
        <v>73</v>
      </c>
      <c r="C168" s="11" t="s">
        <v>16</v>
      </c>
      <c r="D168" s="11" t="s">
        <v>59</v>
      </c>
      <c r="E168" s="23">
        <v>85033.83</v>
      </c>
    </row>
    <row r="169" spans="1:5">
      <c r="A169" s="8">
        <v>40980</v>
      </c>
      <c r="B169" s="12" t="s">
        <v>74</v>
      </c>
      <c r="C169" s="11" t="s">
        <v>16</v>
      </c>
      <c r="D169" s="12" t="s">
        <v>31</v>
      </c>
      <c r="E169" s="23">
        <v>258.64</v>
      </c>
    </row>
    <row r="170" spans="1:5">
      <c r="A170" s="8">
        <v>40982</v>
      </c>
      <c r="B170" s="11" t="s">
        <v>75</v>
      </c>
      <c r="C170" s="11" t="s">
        <v>15</v>
      </c>
      <c r="D170" s="12" t="s">
        <v>76</v>
      </c>
      <c r="E170" s="23">
        <v>1446.81</v>
      </c>
    </row>
    <row r="171" spans="1:5">
      <c r="A171" s="8">
        <v>40982</v>
      </c>
      <c r="B171" s="12" t="s">
        <v>77</v>
      </c>
      <c r="C171" s="11" t="s">
        <v>15</v>
      </c>
      <c r="D171" s="12" t="s">
        <v>31</v>
      </c>
      <c r="E171" s="23">
        <v>45.58</v>
      </c>
    </row>
    <row r="172" spans="1:5">
      <c r="A172" s="8">
        <v>40982</v>
      </c>
      <c r="B172" s="12" t="s">
        <v>78</v>
      </c>
      <c r="C172" s="11" t="s">
        <v>12</v>
      </c>
      <c r="D172" s="12" t="s">
        <v>13</v>
      </c>
      <c r="E172" s="23">
        <v>56750</v>
      </c>
    </row>
    <row r="173" spans="1:5">
      <c r="A173" s="8">
        <v>40982</v>
      </c>
      <c r="B173" s="12" t="s">
        <v>79</v>
      </c>
      <c r="C173" s="11" t="s">
        <v>12</v>
      </c>
      <c r="D173" s="12" t="s">
        <v>80</v>
      </c>
      <c r="E173" s="23">
        <v>1388.12</v>
      </c>
    </row>
    <row r="174" spans="1:5">
      <c r="A174" s="8">
        <v>40984</v>
      </c>
      <c r="B174" s="12" t="s">
        <v>81</v>
      </c>
      <c r="C174" s="11" t="s">
        <v>12</v>
      </c>
      <c r="D174" s="11" t="s">
        <v>40</v>
      </c>
      <c r="E174" s="23">
        <v>12140.55</v>
      </c>
    </row>
    <row r="175" spans="1:5">
      <c r="A175" s="8">
        <v>40984</v>
      </c>
      <c r="B175" s="12" t="s">
        <v>82</v>
      </c>
      <c r="C175" s="11" t="s">
        <v>12</v>
      </c>
      <c r="D175" s="12" t="s">
        <v>83</v>
      </c>
      <c r="E175" s="23">
        <v>4418.32</v>
      </c>
    </row>
    <row r="176" spans="1:5">
      <c r="A176" s="8">
        <v>40984</v>
      </c>
      <c r="B176" s="12" t="s">
        <v>84</v>
      </c>
      <c r="C176" s="11" t="s">
        <v>15</v>
      </c>
      <c r="D176" s="11" t="s">
        <v>40</v>
      </c>
      <c r="E176" s="23">
        <v>19099.240000000002</v>
      </c>
    </row>
    <row r="177" spans="1:5">
      <c r="A177" s="8">
        <v>40984</v>
      </c>
      <c r="B177" s="12" t="s">
        <v>85</v>
      </c>
      <c r="C177" s="11" t="s">
        <v>15</v>
      </c>
      <c r="D177" s="11" t="s">
        <v>50</v>
      </c>
      <c r="E177" s="23">
        <v>7657.44</v>
      </c>
    </row>
    <row r="178" spans="1:5">
      <c r="A178" s="8">
        <v>40984</v>
      </c>
      <c r="B178" s="12" t="s">
        <v>86</v>
      </c>
      <c r="C178" s="11" t="s">
        <v>15</v>
      </c>
      <c r="D178" s="12" t="s">
        <v>47</v>
      </c>
      <c r="E178" s="23">
        <v>82844.3</v>
      </c>
    </row>
    <row r="179" spans="1:5">
      <c r="A179" s="8">
        <v>40984</v>
      </c>
      <c r="B179" s="12" t="s">
        <v>87</v>
      </c>
      <c r="C179" s="11" t="s">
        <v>15</v>
      </c>
      <c r="D179" s="11" t="s">
        <v>55</v>
      </c>
      <c r="E179" s="23">
        <v>26186.35</v>
      </c>
    </row>
    <row r="180" spans="1:5">
      <c r="A180" s="8">
        <v>40988</v>
      </c>
      <c r="B180" s="12" t="s">
        <v>88</v>
      </c>
      <c r="C180" s="11" t="s">
        <v>16</v>
      </c>
      <c r="D180" s="12" t="s">
        <v>89</v>
      </c>
      <c r="E180" s="23">
        <v>28526.25</v>
      </c>
    </row>
    <row r="181" spans="1:5">
      <c r="A181" s="8">
        <v>40988</v>
      </c>
      <c r="B181" s="12" t="s">
        <v>90</v>
      </c>
      <c r="C181" s="11" t="s">
        <v>16</v>
      </c>
      <c r="D181" s="11" t="s">
        <v>59</v>
      </c>
      <c r="E181" s="23">
        <v>14182.93</v>
      </c>
    </row>
    <row r="182" spans="1:5">
      <c r="A182" s="8">
        <v>40988</v>
      </c>
      <c r="B182" s="12" t="s">
        <v>91</v>
      </c>
      <c r="C182" s="11" t="s">
        <v>16</v>
      </c>
      <c r="D182" s="11" t="s">
        <v>92</v>
      </c>
      <c r="E182" s="23">
        <v>19429.150000000001</v>
      </c>
    </row>
    <row r="183" spans="1:5">
      <c r="A183" s="8">
        <v>40990</v>
      </c>
      <c r="B183" s="12" t="s">
        <v>93</v>
      </c>
      <c r="C183" s="11" t="s">
        <v>12</v>
      </c>
      <c r="D183" s="11" t="s">
        <v>94</v>
      </c>
      <c r="E183" s="23">
        <v>28013.79</v>
      </c>
    </row>
    <row r="184" spans="1:5">
      <c r="A184" s="12"/>
      <c r="B184" s="12"/>
      <c r="C184" s="12"/>
      <c r="D184" s="12"/>
      <c r="E184" s="23"/>
    </row>
    <row r="185" spans="1:5">
      <c r="A185" s="12"/>
      <c r="B185" s="12"/>
      <c r="C185" s="12"/>
      <c r="D185" s="12"/>
      <c r="E185" s="23"/>
    </row>
    <row r="187" spans="1:5">
      <c r="A187" s="5" t="s">
        <v>6</v>
      </c>
      <c r="B187" s="6" t="s">
        <v>7</v>
      </c>
      <c r="C187" s="6" t="s">
        <v>8</v>
      </c>
      <c r="D187" s="6" t="s">
        <v>9</v>
      </c>
      <c r="E187" s="24" t="s">
        <v>10</v>
      </c>
    </row>
    <row r="188" spans="1:5">
      <c r="A188" s="21">
        <v>41001</v>
      </c>
      <c r="B188" s="11" t="s">
        <v>95</v>
      </c>
      <c r="C188" s="11" t="s">
        <v>15</v>
      </c>
      <c r="D188" s="11" t="s">
        <v>35</v>
      </c>
      <c r="E188" s="25">
        <v>21616.5</v>
      </c>
    </row>
    <row r="189" spans="1:5">
      <c r="A189" s="8">
        <v>41015</v>
      </c>
      <c r="B189" s="12" t="s">
        <v>96</v>
      </c>
      <c r="C189" s="11" t="s">
        <v>12</v>
      </c>
      <c r="D189" s="11" t="s">
        <v>31</v>
      </c>
      <c r="E189" s="23">
        <v>9283.48</v>
      </c>
    </row>
    <row r="190" spans="1:5">
      <c r="A190" s="8">
        <v>41015</v>
      </c>
      <c r="B190" s="12" t="s">
        <v>97</v>
      </c>
      <c r="C190" s="11" t="s">
        <v>16</v>
      </c>
      <c r="D190" s="11" t="s">
        <v>31</v>
      </c>
      <c r="E190" s="23">
        <v>291.5</v>
      </c>
    </row>
    <row r="191" spans="1:5">
      <c r="A191" s="8">
        <v>41015</v>
      </c>
      <c r="B191" s="12" t="s">
        <v>98</v>
      </c>
      <c r="C191" s="11" t="s">
        <v>15</v>
      </c>
      <c r="D191" s="11" t="s">
        <v>31</v>
      </c>
      <c r="E191" s="23">
        <v>55.12</v>
      </c>
    </row>
    <row r="192" spans="1:5">
      <c r="A192" s="8">
        <v>41015</v>
      </c>
      <c r="B192" s="12" t="s">
        <v>99</v>
      </c>
      <c r="C192" s="11" t="s">
        <v>12</v>
      </c>
      <c r="D192" s="11" t="s">
        <v>100</v>
      </c>
      <c r="E192" s="23">
        <v>41995.18</v>
      </c>
    </row>
    <row r="193" spans="1:5">
      <c r="A193" s="8">
        <v>41015</v>
      </c>
      <c r="B193" s="12" t="s">
        <v>101</v>
      </c>
      <c r="C193" s="11" t="s">
        <v>15</v>
      </c>
      <c r="D193" s="11" t="s">
        <v>100</v>
      </c>
      <c r="E193" s="23">
        <v>75599.92</v>
      </c>
    </row>
    <row r="194" spans="1:5">
      <c r="A194" s="8">
        <v>41015</v>
      </c>
      <c r="B194" s="12" t="s">
        <v>102</v>
      </c>
      <c r="C194" s="11" t="s">
        <v>16</v>
      </c>
      <c r="D194" s="11" t="s">
        <v>100</v>
      </c>
      <c r="E194" s="23">
        <v>78336.55</v>
      </c>
    </row>
    <row r="195" spans="1:5">
      <c r="A195" s="8">
        <v>41016</v>
      </c>
      <c r="B195" s="12" t="s">
        <v>103</v>
      </c>
      <c r="C195" s="11" t="s">
        <v>12</v>
      </c>
      <c r="D195" s="12" t="s">
        <v>104</v>
      </c>
      <c r="E195" s="23">
        <v>56750</v>
      </c>
    </row>
    <row r="196" spans="1:5">
      <c r="A196" s="8">
        <v>41016</v>
      </c>
      <c r="B196" s="12" t="s">
        <v>105</v>
      </c>
      <c r="C196" s="11" t="s">
        <v>12</v>
      </c>
      <c r="D196" s="12" t="s">
        <v>106</v>
      </c>
      <c r="E196" s="23">
        <v>2315.62</v>
      </c>
    </row>
    <row r="197" spans="1:5">
      <c r="A197" s="8">
        <v>41016</v>
      </c>
      <c r="B197" s="12" t="s">
        <v>107</v>
      </c>
      <c r="C197" s="11" t="s">
        <v>12</v>
      </c>
      <c r="D197" s="12" t="s">
        <v>44</v>
      </c>
      <c r="E197" s="23">
        <v>2884.2</v>
      </c>
    </row>
    <row r="198" spans="1:5">
      <c r="A198" s="8">
        <v>41016</v>
      </c>
      <c r="B198" s="12" t="s">
        <v>108</v>
      </c>
      <c r="C198" s="11" t="s">
        <v>12</v>
      </c>
      <c r="D198" s="12" t="s">
        <v>109</v>
      </c>
      <c r="E198" s="23">
        <v>15459.73</v>
      </c>
    </row>
    <row r="199" spans="1:5">
      <c r="A199" s="8">
        <v>41016</v>
      </c>
      <c r="B199" s="12" t="s">
        <v>110</v>
      </c>
      <c r="C199" s="11" t="s">
        <v>12</v>
      </c>
      <c r="D199" s="12" t="s">
        <v>111</v>
      </c>
      <c r="E199" s="23">
        <v>3987.72</v>
      </c>
    </row>
    <row r="200" spans="1:5">
      <c r="A200" s="8">
        <v>41016</v>
      </c>
      <c r="B200" s="12" t="s">
        <v>112</v>
      </c>
      <c r="C200" s="11" t="s">
        <v>12</v>
      </c>
      <c r="D200" s="12" t="s">
        <v>113</v>
      </c>
      <c r="E200" s="23">
        <v>6159.32</v>
      </c>
    </row>
    <row r="201" spans="1:5">
      <c r="A201" s="8">
        <v>41016</v>
      </c>
      <c r="B201" s="12" t="s">
        <v>114</v>
      </c>
      <c r="C201" s="11" t="s">
        <v>15</v>
      </c>
      <c r="D201" s="12" t="s">
        <v>109</v>
      </c>
      <c r="E201" s="23">
        <v>23765.18</v>
      </c>
    </row>
    <row r="202" spans="1:5">
      <c r="A202" s="8">
        <v>41016</v>
      </c>
      <c r="B202" s="12" t="s">
        <v>115</v>
      </c>
      <c r="C202" s="11" t="s">
        <v>15</v>
      </c>
      <c r="D202" s="12" t="s">
        <v>111</v>
      </c>
      <c r="E202" s="23">
        <v>9953.4</v>
      </c>
    </row>
    <row r="203" spans="1:5">
      <c r="A203" s="8">
        <v>41016</v>
      </c>
      <c r="B203" s="12" t="s">
        <v>116</v>
      </c>
      <c r="C203" s="11" t="s">
        <v>15</v>
      </c>
      <c r="D203" s="12" t="s">
        <v>117</v>
      </c>
      <c r="E203" s="23">
        <v>11841.91</v>
      </c>
    </row>
    <row r="204" spans="1:5">
      <c r="A204" s="8">
        <v>41016</v>
      </c>
      <c r="B204" s="12" t="s">
        <v>118</v>
      </c>
      <c r="C204" s="11" t="s">
        <v>15</v>
      </c>
      <c r="D204" s="26" t="s">
        <v>119</v>
      </c>
      <c r="E204" s="23">
        <v>8744.3700000000008</v>
      </c>
    </row>
    <row r="205" spans="1:5">
      <c r="A205" s="8">
        <v>41016</v>
      </c>
      <c r="B205" s="12" t="s">
        <v>120</v>
      </c>
      <c r="C205" s="11" t="s">
        <v>16</v>
      </c>
      <c r="D205" s="12" t="s">
        <v>44</v>
      </c>
      <c r="E205" s="23">
        <v>20251</v>
      </c>
    </row>
    <row r="206" spans="1:5">
      <c r="A206" s="8">
        <v>41016</v>
      </c>
      <c r="B206" s="12" t="s">
        <v>121</v>
      </c>
      <c r="C206" s="11" t="s">
        <v>16</v>
      </c>
      <c r="D206" s="12" t="s">
        <v>109</v>
      </c>
      <c r="E206" s="23">
        <v>37068.769999999997</v>
      </c>
    </row>
    <row r="207" spans="1:5">
      <c r="A207" s="8">
        <v>41016</v>
      </c>
      <c r="B207" s="12" t="s">
        <v>122</v>
      </c>
      <c r="C207" s="11" t="s">
        <v>16</v>
      </c>
      <c r="D207" s="12" t="s">
        <v>111</v>
      </c>
      <c r="E207" s="23">
        <v>7279.02</v>
      </c>
    </row>
    <row r="208" spans="1:5">
      <c r="A208" s="8">
        <v>41016</v>
      </c>
      <c r="B208" s="12" t="s">
        <v>123</v>
      </c>
      <c r="C208" s="11" t="s">
        <v>16</v>
      </c>
      <c r="D208" s="12" t="s">
        <v>117</v>
      </c>
      <c r="E208" s="23">
        <v>22498.66</v>
      </c>
    </row>
    <row r="209" spans="1:5">
      <c r="A209" s="8">
        <v>41026</v>
      </c>
      <c r="B209" s="12" t="s">
        <v>124</v>
      </c>
      <c r="C209" s="11" t="s">
        <v>15</v>
      </c>
      <c r="D209" s="12" t="s">
        <v>125</v>
      </c>
      <c r="E209" s="23">
        <v>24027.07</v>
      </c>
    </row>
    <row r="210" spans="1:5">
      <c r="A210" s="8"/>
      <c r="B210" s="12"/>
      <c r="C210" s="27"/>
      <c r="D210" s="27"/>
      <c r="E210" s="23"/>
    </row>
    <row r="211" spans="1:5">
      <c r="A211" s="8"/>
      <c r="B211" s="12"/>
      <c r="C211" s="27"/>
      <c r="D211" s="27"/>
      <c r="E211" s="23"/>
    </row>
    <row r="212" spans="1:5">
      <c r="A212" s="12"/>
      <c r="B212" s="12"/>
      <c r="C212" s="12"/>
      <c r="D212" s="12"/>
      <c r="E212" s="23"/>
    </row>
    <row r="213" spans="1:5">
      <c r="A213" s="12"/>
      <c r="B213" s="12"/>
      <c r="C213" s="12"/>
      <c r="D213" s="12"/>
      <c r="E213" s="23"/>
    </row>
    <row r="214" spans="1:5">
      <c r="A214" s="12"/>
      <c r="B214" s="12"/>
      <c r="C214" s="12"/>
      <c r="D214" s="12"/>
      <c r="E214" s="23"/>
    </row>
    <row r="216" spans="1:5">
      <c r="A216" s="5" t="s">
        <v>6</v>
      </c>
      <c r="B216" s="6" t="s">
        <v>7</v>
      </c>
      <c r="C216" s="6" t="s">
        <v>8</v>
      </c>
      <c r="D216" s="6" t="s">
        <v>9</v>
      </c>
      <c r="E216" s="24" t="s">
        <v>10</v>
      </c>
    </row>
    <row r="217" spans="1:5">
      <c r="A217" s="8">
        <v>41036</v>
      </c>
      <c r="B217" s="12" t="s">
        <v>126</v>
      </c>
      <c r="C217" s="11" t="s">
        <v>15</v>
      </c>
      <c r="D217" s="12" t="s">
        <v>127</v>
      </c>
      <c r="E217" s="23">
        <v>16108</v>
      </c>
    </row>
    <row r="218" spans="1:5">
      <c r="A218" s="8">
        <v>41037</v>
      </c>
      <c r="B218" s="12" t="s">
        <v>128</v>
      </c>
      <c r="C218" s="11" t="s">
        <v>12</v>
      </c>
      <c r="D218" s="12" t="s">
        <v>129</v>
      </c>
      <c r="E218" s="23">
        <v>81953.58</v>
      </c>
    </row>
    <row r="219" spans="1:5">
      <c r="A219" s="8">
        <v>41037</v>
      </c>
      <c r="B219" s="11" t="s">
        <v>130</v>
      </c>
      <c r="C219" s="11" t="s">
        <v>12</v>
      </c>
      <c r="D219" s="11" t="s">
        <v>131</v>
      </c>
      <c r="E219" s="25">
        <v>3598.58</v>
      </c>
    </row>
    <row r="220" spans="1:5">
      <c r="A220" s="8">
        <v>41037</v>
      </c>
      <c r="B220" s="11" t="s">
        <v>132</v>
      </c>
      <c r="C220" s="11" t="s">
        <v>12</v>
      </c>
      <c r="D220" s="11" t="s">
        <v>133</v>
      </c>
      <c r="E220" s="25">
        <v>56750</v>
      </c>
    </row>
    <row r="221" spans="1:5">
      <c r="A221" s="21">
        <v>41038</v>
      </c>
      <c r="B221" s="11" t="s">
        <v>134</v>
      </c>
      <c r="C221" s="11" t="s">
        <v>15</v>
      </c>
      <c r="D221" s="11" t="s">
        <v>135</v>
      </c>
      <c r="E221" s="25">
        <v>18597.87</v>
      </c>
    </row>
    <row r="222" spans="1:5">
      <c r="A222" s="21">
        <v>41038</v>
      </c>
      <c r="B222" s="11" t="s">
        <v>136</v>
      </c>
      <c r="C222" s="11" t="s">
        <v>15</v>
      </c>
      <c r="D222" s="11" t="s">
        <v>50</v>
      </c>
      <c r="E222" s="25">
        <v>7393.5</v>
      </c>
    </row>
    <row r="223" spans="1:5">
      <c r="A223" s="21">
        <v>41038</v>
      </c>
      <c r="B223" s="11" t="s">
        <v>137</v>
      </c>
      <c r="C223" s="11" t="s">
        <v>15</v>
      </c>
      <c r="D223" s="11" t="s">
        <v>138</v>
      </c>
      <c r="E223" s="25">
        <v>11675.75</v>
      </c>
    </row>
    <row r="224" spans="1:5">
      <c r="A224" s="21">
        <v>41038</v>
      </c>
      <c r="B224" s="12" t="s">
        <v>139</v>
      </c>
      <c r="C224" s="11" t="s">
        <v>15</v>
      </c>
      <c r="D224" s="28" t="s">
        <v>140</v>
      </c>
      <c r="E224" s="29">
        <v>11742.19</v>
      </c>
    </row>
    <row r="225" spans="1:5">
      <c r="A225" s="21">
        <v>41038</v>
      </c>
      <c r="B225" s="12" t="s">
        <v>141</v>
      </c>
      <c r="C225" s="11" t="s">
        <v>15</v>
      </c>
      <c r="D225" s="12" t="s">
        <v>31</v>
      </c>
      <c r="E225" s="23">
        <v>68.900000000000006</v>
      </c>
    </row>
    <row r="226" spans="1:5">
      <c r="A226" s="21">
        <v>41038</v>
      </c>
      <c r="B226" s="12" t="s">
        <v>142</v>
      </c>
      <c r="C226" s="11" t="s">
        <v>15</v>
      </c>
      <c r="D226" s="11" t="s">
        <v>143</v>
      </c>
      <c r="E226" s="23">
        <v>65684.009999999995</v>
      </c>
    </row>
    <row r="227" spans="1:5">
      <c r="A227" s="21">
        <v>41038</v>
      </c>
      <c r="B227" s="12" t="s">
        <v>144</v>
      </c>
      <c r="C227" s="11" t="s">
        <v>12</v>
      </c>
      <c r="D227" s="11" t="s">
        <v>135</v>
      </c>
      <c r="E227" s="30">
        <v>12163.93</v>
      </c>
    </row>
    <row r="228" spans="1:5">
      <c r="A228" s="21">
        <v>41038</v>
      </c>
      <c r="B228" s="12" t="s">
        <v>145</v>
      </c>
      <c r="C228" s="11" t="s">
        <v>12</v>
      </c>
      <c r="D228" s="11" t="s">
        <v>50</v>
      </c>
      <c r="E228" s="23">
        <v>3822.36</v>
      </c>
    </row>
    <row r="229" spans="1:5">
      <c r="A229" s="21">
        <v>41038</v>
      </c>
      <c r="B229" s="12" t="s">
        <v>146</v>
      </c>
      <c r="C229" s="11" t="s">
        <v>12</v>
      </c>
      <c r="D229" s="11" t="s">
        <v>138</v>
      </c>
      <c r="E229" s="23">
        <v>6391.09</v>
      </c>
    </row>
    <row r="230" spans="1:5">
      <c r="A230" s="21">
        <v>41038</v>
      </c>
      <c r="B230" s="12" t="s">
        <v>147</v>
      </c>
      <c r="C230" s="11" t="s">
        <v>12</v>
      </c>
      <c r="D230" s="27" t="s">
        <v>148</v>
      </c>
      <c r="E230" s="23">
        <v>4662.79</v>
      </c>
    </row>
    <row r="231" spans="1:5">
      <c r="A231" s="21">
        <v>41038</v>
      </c>
      <c r="B231" s="12" t="s">
        <v>149</v>
      </c>
      <c r="C231" s="11" t="s">
        <v>12</v>
      </c>
      <c r="D231" s="12" t="s">
        <v>31</v>
      </c>
      <c r="E231" s="23">
        <v>9845.2800000000007</v>
      </c>
    </row>
    <row r="232" spans="1:5">
      <c r="A232" s="21">
        <v>41038</v>
      </c>
      <c r="B232" s="12" t="s">
        <v>150</v>
      </c>
      <c r="C232" s="11" t="s">
        <v>12</v>
      </c>
      <c r="D232" s="11" t="s">
        <v>143</v>
      </c>
      <c r="E232" s="23">
        <v>45389.69</v>
      </c>
    </row>
    <row r="233" spans="1:5">
      <c r="A233" s="21">
        <v>41038</v>
      </c>
      <c r="B233" s="12" t="s">
        <v>151</v>
      </c>
      <c r="C233" s="11" t="s">
        <v>16</v>
      </c>
      <c r="D233" s="11" t="s">
        <v>135</v>
      </c>
      <c r="E233" s="23">
        <v>30778.37</v>
      </c>
    </row>
    <row r="234" spans="1:5">
      <c r="A234" s="21">
        <v>41038</v>
      </c>
      <c r="B234" s="12" t="s">
        <v>152</v>
      </c>
      <c r="C234" s="11" t="s">
        <v>16</v>
      </c>
      <c r="D234" s="11" t="s">
        <v>153</v>
      </c>
      <c r="E234" s="23">
        <v>5641.32</v>
      </c>
    </row>
    <row r="235" spans="1:5">
      <c r="A235" s="21">
        <v>41038</v>
      </c>
      <c r="B235" s="12" t="s">
        <v>154</v>
      </c>
      <c r="C235" s="11" t="s">
        <v>16</v>
      </c>
      <c r="D235" s="11" t="s">
        <v>138</v>
      </c>
      <c r="E235" s="23">
        <v>21471.57</v>
      </c>
    </row>
    <row r="236" spans="1:5">
      <c r="A236" s="21">
        <v>41038</v>
      </c>
      <c r="B236" s="11" t="s">
        <v>155</v>
      </c>
      <c r="C236" s="11" t="s">
        <v>16</v>
      </c>
      <c r="D236" s="27" t="s">
        <v>148</v>
      </c>
      <c r="E236" s="25">
        <v>18756.38</v>
      </c>
    </row>
    <row r="237" spans="1:5">
      <c r="A237" s="21">
        <v>41038</v>
      </c>
      <c r="B237" s="11" t="s">
        <v>156</v>
      </c>
      <c r="C237" s="11" t="s">
        <v>16</v>
      </c>
      <c r="D237" s="12" t="s">
        <v>31</v>
      </c>
      <c r="E237" s="25">
        <v>98.58</v>
      </c>
    </row>
    <row r="238" spans="1:5">
      <c r="A238" s="21">
        <v>41038</v>
      </c>
      <c r="B238" s="11" t="s">
        <v>157</v>
      </c>
      <c r="C238" s="11" t="s">
        <v>16</v>
      </c>
      <c r="D238" s="11" t="s">
        <v>143</v>
      </c>
      <c r="E238" s="25">
        <v>72127.520000000004</v>
      </c>
    </row>
    <row r="239" spans="1:5">
      <c r="A239" s="21">
        <v>41047</v>
      </c>
      <c r="B239" s="11" t="s">
        <v>158</v>
      </c>
      <c r="C239" s="11" t="s">
        <v>15</v>
      </c>
      <c r="D239" s="11" t="s">
        <v>159</v>
      </c>
      <c r="E239" s="25">
        <v>18397.259999999998</v>
      </c>
    </row>
    <row r="240" spans="1:5">
      <c r="A240" s="12"/>
      <c r="B240" s="12"/>
      <c r="C240" s="12"/>
      <c r="D240" s="12"/>
      <c r="E240" s="23"/>
    </row>
    <row r="241" spans="1:5">
      <c r="A241" s="12"/>
      <c r="B241" s="12"/>
      <c r="C241" s="12"/>
      <c r="D241" s="12"/>
      <c r="E241" s="23"/>
    </row>
    <row r="242" spans="1:5">
      <c r="A242" s="12"/>
      <c r="B242" s="12"/>
      <c r="C242" s="12"/>
      <c r="D242" s="12"/>
      <c r="E242" s="23"/>
    </row>
    <row r="243" spans="1:5">
      <c r="A243" s="12"/>
      <c r="B243" s="12"/>
      <c r="C243" s="12"/>
      <c r="D243" s="12"/>
      <c r="E243" s="23"/>
    </row>
    <row r="245" spans="1:5">
      <c r="A245" s="42" t="s">
        <v>181</v>
      </c>
      <c r="B245" s="42" t="s">
        <v>12</v>
      </c>
      <c r="C245" s="42" t="s">
        <v>182</v>
      </c>
    </row>
    <row r="246" spans="1:5">
      <c r="A246" s="40">
        <v>18947.629999999997</v>
      </c>
      <c r="B246" s="40">
        <v>9686.35</v>
      </c>
      <c r="C246" s="40">
        <v>28801.21</v>
      </c>
    </row>
    <row r="247" spans="1:5">
      <c r="A247" s="40">
        <v>5813.04</v>
      </c>
      <c r="B247" s="40">
        <v>4490.16</v>
      </c>
      <c r="C247" s="40">
        <v>6325.02</v>
      </c>
    </row>
    <row r="248" spans="1:5">
      <c r="A248" s="40">
        <v>86714.530000000013</v>
      </c>
      <c r="B248" s="40">
        <v>53687.249999999978</v>
      </c>
      <c r="C248" s="40">
        <v>73459.750000000015</v>
      </c>
    </row>
    <row r="249" spans="1:5">
      <c r="A249" s="40">
        <v>8165.0300000000007</v>
      </c>
      <c r="B249" s="40">
        <v>148.63</v>
      </c>
      <c r="C249" s="40">
        <v>8567.1900000000023</v>
      </c>
    </row>
    <row r="250" spans="1:5">
      <c r="A250" s="40">
        <v>76.319999999999993</v>
      </c>
      <c r="B250" s="40">
        <v>12788.900000000001</v>
      </c>
      <c r="C250" s="40">
        <v>303.15999999999997</v>
      </c>
    </row>
    <row r="251" spans="1:5">
      <c r="A251" s="40">
        <v>12526.32</v>
      </c>
      <c r="B251" s="40">
        <v>6520.3200000000006</v>
      </c>
      <c r="C251" s="40">
        <v>12963.42</v>
      </c>
    </row>
    <row r="252" spans="1:5">
      <c r="A252" s="40">
        <v>830.5</v>
      </c>
      <c r="B252" s="40">
        <v>1547.3400000000001</v>
      </c>
      <c r="C252" s="40">
        <v>4773.16</v>
      </c>
    </row>
    <row r="253" spans="1:5">
      <c r="A253" s="40">
        <v>9720.8000000000011</v>
      </c>
      <c r="B253" s="40">
        <v>2872</v>
      </c>
      <c r="C253" s="40">
        <v>14905.080000000002</v>
      </c>
    </row>
    <row r="254" spans="1:5">
      <c r="A254" s="43">
        <v>142794.17000000001</v>
      </c>
      <c r="B254" s="43">
        <v>91740.949999999983</v>
      </c>
      <c r="C254" s="43">
        <v>150097.99</v>
      </c>
    </row>
    <row r="256" spans="1:5">
      <c r="A256" s="42" t="s">
        <v>181</v>
      </c>
      <c r="B256" s="42" t="s">
        <v>12</v>
      </c>
      <c r="C256" s="42" t="s">
        <v>182</v>
      </c>
    </row>
    <row r="257" spans="1:3">
      <c r="A257" s="40">
        <v>19099.240000000002</v>
      </c>
      <c r="B257" s="40">
        <v>12140.55</v>
      </c>
      <c r="C257" s="40">
        <v>28526.249999999989</v>
      </c>
    </row>
    <row r="258" spans="1:3">
      <c r="A258" s="40">
        <v>7657.4400000000005</v>
      </c>
      <c r="B258" s="40">
        <v>4073.5800000000004</v>
      </c>
      <c r="C258" s="40">
        <v>6429.96</v>
      </c>
    </row>
    <row r="259" spans="1:3">
      <c r="A259" s="40">
        <v>73193.84</v>
      </c>
      <c r="B259" s="40">
        <v>42523.470000000008</v>
      </c>
      <c r="C259" s="40">
        <v>80680.310000000012</v>
      </c>
    </row>
    <row r="260" spans="1:3">
      <c r="A260" s="40">
        <v>19538.150000000001</v>
      </c>
      <c r="B260" s="40">
        <v>74.31</v>
      </c>
      <c r="C260" s="40">
        <v>6058.27</v>
      </c>
    </row>
    <row r="261" spans="1:3">
      <c r="A261" s="40">
        <v>45.58</v>
      </c>
      <c r="B261" s="40">
        <v>11078.060000000001</v>
      </c>
      <c r="C261" s="40">
        <v>258.64</v>
      </c>
    </row>
    <row r="262" spans="1:3">
      <c r="A262" s="40">
        <v>9650.4600000000009</v>
      </c>
      <c r="B262" s="40">
        <v>4418.3200000000006</v>
      </c>
      <c r="C262" s="40">
        <v>14182.93</v>
      </c>
    </row>
    <row r="263" spans="1:3">
      <c r="A263" s="40">
        <v>1446.81</v>
      </c>
      <c r="B263" s="40">
        <v>2080.6</v>
      </c>
      <c r="C263" s="40">
        <v>4353.5200000000004</v>
      </c>
    </row>
    <row r="264" spans="1:3">
      <c r="A264" s="40">
        <v>6648.2000000000007</v>
      </c>
      <c r="B264" s="40">
        <v>3492.7200000000003</v>
      </c>
      <c r="C264" s="40">
        <v>13370.880000000001</v>
      </c>
    </row>
    <row r="265" spans="1:3">
      <c r="A265" s="43">
        <v>137279.72</v>
      </c>
      <c r="B265" s="43">
        <v>79881.610000000015</v>
      </c>
      <c r="C265" s="43">
        <v>153860.76</v>
      </c>
    </row>
    <row r="267" spans="1:3">
      <c r="A267" s="42" t="s">
        <v>181</v>
      </c>
      <c r="B267" s="42" t="s">
        <v>12</v>
      </c>
      <c r="C267" s="42" t="s">
        <v>182</v>
      </c>
    </row>
    <row r="268" spans="1:3">
      <c r="A268" s="40">
        <v>23765.180000000004</v>
      </c>
      <c r="B268" s="40">
        <v>15459.73</v>
      </c>
      <c r="C268" s="40">
        <v>37068.769999999997</v>
      </c>
    </row>
    <row r="269" spans="1:3">
      <c r="A269" s="40">
        <v>9953.4</v>
      </c>
      <c r="B269" s="40">
        <v>3987.7200000000003</v>
      </c>
      <c r="C269" s="40">
        <v>7279.02</v>
      </c>
    </row>
    <row r="270" spans="1:3">
      <c r="A270" s="40">
        <v>75599.920000000013</v>
      </c>
      <c r="B270" s="40">
        <v>41995.180000000008</v>
      </c>
      <c r="C270" s="40">
        <v>78336.549999999988</v>
      </c>
    </row>
    <row r="271" spans="1:3">
      <c r="A271" s="40">
        <v>24027.07</v>
      </c>
      <c r="B271" s="40">
        <v>0</v>
      </c>
      <c r="C271" s="40">
        <v>1158.47</v>
      </c>
    </row>
    <row r="272" spans="1:3">
      <c r="A272" s="40">
        <v>55.12</v>
      </c>
      <c r="B272" s="40">
        <v>9283.48</v>
      </c>
      <c r="C272" s="40">
        <v>291.5</v>
      </c>
    </row>
    <row r="273" spans="1:3">
      <c r="A273" s="40">
        <v>10264.1</v>
      </c>
      <c r="B273" s="40">
        <v>4188.1899999999996</v>
      </c>
      <c r="C273" s="40">
        <v>17900.760000000002</v>
      </c>
    </row>
    <row r="274" spans="1:3">
      <c r="A274" s="40">
        <v>1577.81</v>
      </c>
      <c r="B274" s="40">
        <v>1971.13</v>
      </c>
      <c r="C274" s="40">
        <v>4597.9000000000005</v>
      </c>
    </row>
    <row r="275" spans="1:3">
      <c r="A275" s="40">
        <v>8744.369999999999</v>
      </c>
      <c r="B275" s="40">
        <v>2884.2000000000003</v>
      </c>
      <c r="C275" s="40">
        <v>19092.53</v>
      </c>
    </row>
    <row r="276" spans="1:3">
      <c r="A276" s="43">
        <v>153986.97</v>
      </c>
      <c r="B276" s="43">
        <v>79769.63</v>
      </c>
      <c r="C276" s="43">
        <v>165725.49999999997</v>
      </c>
    </row>
    <row r="278" spans="1:3">
      <c r="A278" s="42" t="s">
        <v>181</v>
      </c>
      <c r="B278" s="42" t="s">
        <v>12</v>
      </c>
      <c r="C278" s="42" t="s">
        <v>182</v>
      </c>
    </row>
    <row r="279" spans="1:3">
      <c r="A279" s="40">
        <v>18597.87</v>
      </c>
      <c r="B279" s="40">
        <v>12163.929999999995</v>
      </c>
      <c r="C279" s="40">
        <v>30778.370000000006</v>
      </c>
    </row>
    <row r="280" spans="1:3">
      <c r="A280" s="40">
        <v>7393.5</v>
      </c>
      <c r="B280" s="40">
        <v>3822.36</v>
      </c>
      <c r="C280" s="40">
        <v>5641.3200000000006</v>
      </c>
    </row>
    <row r="281" spans="1:3">
      <c r="A281" s="40">
        <v>65684.009999999995</v>
      </c>
      <c r="B281" s="40">
        <v>45389.69</v>
      </c>
      <c r="C281" s="40">
        <v>72127.520000000004</v>
      </c>
    </row>
    <row r="282" spans="1:3">
      <c r="A282" s="40">
        <v>18397.259999999998</v>
      </c>
      <c r="B282" s="40">
        <v>0</v>
      </c>
      <c r="C282" s="40">
        <v>970.48</v>
      </c>
    </row>
    <row r="283" spans="1:3">
      <c r="A283" s="40">
        <v>68.899999999999991</v>
      </c>
      <c r="B283" s="40">
        <v>9845.2799999999988</v>
      </c>
      <c r="C283" s="40">
        <v>98.58</v>
      </c>
    </row>
    <row r="284" spans="1:3">
      <c r="A284" s="40">
        <v>9962.48</v>
      </c>
      <c r="B284" s="40">
        <v>4843.9000000000005</v>
      </c>
      <c r="C284" s="40">
        <v>16886.809999999998</v>
      </c>
    </row>
    <row r="285" spans="1:3">
      <c r="A285" s="40">
        <v>1713.27</v>
      </c>
      <c r="B285" s="40">
        <v>1547.19</v>
      </c>
      <c r="C285" s="40">
        <v>4584.76</v>
      </c>
    </row>
    <row r="286" spans="1:3">
      <c r="A286" s="40">
        <v>11742.19</v>
      </c>
      <c r="B286" s="40">
        <v>4662.79</v>
      </c>
      <c r="C286" s="40">
        <v>17785.900000000001</v>
      </c>
    </row>
    <row r="287" spans="1:3">
      <c r="A287" s="43">
        <v>133559.47999999998</v>
      </c>
      <c r="B287" s="43">
        <v>82275.139999999985</v>
      </c>
      <c r="C287" s="43">
        <v>148873.74000000002</v>
      </c>
    </row>
    <row r="289" spans="1:3">
      <c r="A289" s="46"/>
      <c r="B289" s="46"/>
      <c r="C289" s="46"/>
    </row>
    <row r="290" spans="1:3">
      <c r="A290" s="48"/>
      <c r="B290" s="48"/>
      <c r="C290" s="48"/>
    </row>
    <row r="291" spans="1:3">
      <c r="A291" s="48"/>
      <c r="B291" s="48"/>
      <c r="C291" s="48"/>
    </row>
    <row r="292" spans="1:3">
      <c r="A292" s="48"/>
      <c r="B292" s="48"/>
      <c r="C292" s="48"/>
    </row>
    <row r="293" spans="1:3">
      <c r="A293" s="48"/>
      <c r="B293" s="48"/>
      <c r="C293" s="48"/>
    </row>
    <row r="294" spans="1:3">
      <c r="A294" s="48"/>
      <c r="B294" s="48"/>
      <c r="C294" s="48"/>
    </row>
    <row r="295" spans="1:3">
      <c r="A295" s="48"/>
      <c r="B295" s="48"/>
      <c r="C295" s="48"/>
    </row>
    <row r="296" spans="1:3">
      <c r="A296" s="48"/>
      <c r="B296" s="48"/>
      <c r="C296" s="48"/>
    </row>
    <row r="297" spans="1:3">
      <c r="A297" s="48"/>
      <c r="B297" s="48"/>
      <c r="C297" s="48"/>
    </row>
    <row r="298" spans="1:3">
      <c r="A298" s="48"/>
      <c r="B298" s="48"/>
      <c r="C298" s="48"/>
    </row>
  </sheetData>
  <dataValidations count="3">
    <dataValidation type="decimal" operator="greaterThanOrEqual" showInputMessage="1" showErrorMessage="1" errorTitle="Valor nulo inválido!" error="Estes campos não permitem valor nulo quando a linha é preenchida. Favor verificar o input de número do valor a ser pago." sqref="E216:E226 E228:E243 E187:E214">
      <formula1>1</formula1>
    </dataValidation>
    <dataValidation type="textLength" errorStyle="information" operator="greaterThanOrEqual" showInputMessage="1" showErrorMessage="1" errorTitle="Inserção de Pedido" error="Insira um número de pedido nesta linha." sqref="B187:B214 B236:B243 B216:B234">
      <formula1>1</formula1>
    </dataValidation>
    <dataValidation type="textLength" errorStyle="information" operator="greaterThanOrEqual" showInputMessage="1" showErrorMessage="1" errorTitle="Inserção de Pedido" error="Insira um número de pedido válido nesta linha." sqref="B235">
      <formula1>1</formula1>
    </dataValidation>
  </dataValidation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11</vt:i4>
      </vt:variant>
    </vt:vector>
  </HeadingPairs>
  <TitlesOfParts>
    <vt:vector size="15" baseType="lpstr">
      <vt:lpstr>pagamentos</vt:lpstr>
      <vt:lpstr>por centro de custo</vt:lpstr>
      <vt:lpstr>contas</vt:lpstr>
      <vt:lpstr>Plan3</vt:lpstr>
      <vt:lpstr>abr</vt:lpstr>
      <vt:lpstr>abril</vt:lpstr>
      <vt:lpstr>fev</vt:lpstr>
      <vt:lpstr>fevereiro</vt:lpstr>
      <vt:lpstr>jan</vt:lpstr>
      <vt:lpstr>janeiro</vt:lpstr>
      <vt:lpstr>maio</vt:lpstr>
      <vt:lpstr>mar</vt:lpstr>
      <vt:lpstr>março</vt:lpstr>
      <vt:lpstr>mostra_custo</vt:lpstr>
      <vt:lpstr>mostra_pagamento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2006-09-25T12:47:36Z</dcterms:created>
  <dcterms:modified xsi:type="dcterms:W3CDTF">2012-05-28T14:46:42Z</dcterms:modified>
</cp:coreProperties>
</file>