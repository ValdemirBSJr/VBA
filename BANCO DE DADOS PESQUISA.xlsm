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EstaPasta_de_trabalho" defaultThemeVersion="124226"/>
  <bookViews>
    <workbookView xWindow="360" yWindow="300" windowWidth="15480" windowHeight="11640"/>
  </bookViews>
  <sheets>
    <sheet name="BD" sheetId="1" r:id="rId1"/>
  </sheets>
  <externalReferences>
    <externalReference r:id="rId2"/>
    <externalReference r:id="rId3"/>
    <externalReference r:id="rId4"/>
  </externalReferences>
  <calcPr calcId="125725"/>
</workbook>
</file>

<file path=xl/calcChain.xml><?xml version="1.0" encoding="utf-8"?>
<calcChain xmlns="http://schemas.openxmlformats.org/spreadsheetml/2006/main">
  <c r="U12" i="1"/>
  <c r="G12"/>
  <c r="F12"/>
  <c r="E12"/>
  <c r="D12"/>
  <c r="C12"/>
  <c r="B12"/>
  <c r="A12"/>
  <c r="V12" l="1"/>
  <c r="U11" l="1"/>
  <c r="G11"/>
  <c r="F11"/>
  <c r="E11"/>
  <c r="D11"/>
  <c r="C11"/>
  <c r="B11"/>
  <c r="A11"/>
  <c r="V11" l="1"/>
  <c r="U10" l="1"/>
  <c r="G10"/>
  <c r="F10"/>
  <c r="E10"/>
  <c r="D10"/>
  <c r="C10"/>
  <c r="B10"/>
  <c r="A10"/>
  <c r="V10" l="1"/>
</calcChain>
</file>

<file path=xl/sharedStrings.xml><?xml version="1.0" encoding="utf-8"?>
<sst xmlns="http://schemas.openxmlformats.org/spreadsheetml/2006/main" count="224" uniqueCount="81">
  <si>
    <t>CARGO</t>
  </si>
  <si>
    <t>NOME</t>
  </si>
  <si>
    <t>OP. DE ORIGEM</t>
  </si>
  <si>
    <t>OP. DE DESTINO</t>
  </si>
  <si>
    <t>TEMPO DE VIAGEM</t>
  </si>
  <si>
    <t>EMPRESA</t>
  </si>
  <si>
    <t>LOCAL DE HOSPEDAGEM</t>
  </si>
  <si>
    <t>MOTIVO</t>
  </si>
  <si>
    <t>RESERVA FOI EFICIENTE</t>
  </si>
  <si>
    <t>AVALIAÇÃO GERAL HOSP.</t>
  </si>
  <si>
    <t>SERVIÇO HOSP. MENS.</t>
  </si>
  <si>
    <t>SERVIÇO HOSP. INTERNET</t>
  </si>
  <si>
    <t>SERVIÇO HOSP. LIMP.</t>
  </si>
  <si>
    <t>QUALIDADE ALIMENTAÇÃO</t>
  </si>
  <si>
    <t>CHECK IN</t>
  </si>
  <si>
    <t>CHECK OUT</t>
  </si>
  <si>
    <t>NECESSIDADE DE ACOR.</t>
  </si>
  <si>
    <t>HOSP. NOVAMENTE</t>
  </si>
  <si>
    <t>RECOMENDARIA</t>
  </si>
  <si>
    <t>SUGESTÃO/OPINIÃO</t>
  </si>
  <si>
    <t>QUALIDADE QUARTO</t>
  </si>
  <si>
    <t>DATA</t>
  </si>
  <si>
    <t>Negócios</t>
  </si>
  <si>
    <t>Sim</t>
  </si>
  <si>
    <t>Bom</t>
  </si>
  <si>
    <t>Boa</t>
  </si>
  <si>
    <t>25/10/2012 17:03h</t>
  </si>
  <si>
    <t>25/10/2012 18:51h</t>
  </si>
  <si>
    <t>Regular</t>
  </si>
  <si>
    <t>Ruim</t>
  </si>
  <si>
    <t>Não</t>
  </si>
  <si>
    <t>26/10/2012 14:40h</t>
  </si>
  <si>
    <t>celso messias de souza junior</t>
  </si>
  <si>
    <t>executivo de vendas II</t>
  </si>
  <si>
    <t>joão pessoa</t>
  </si>
  <si>
    <t>são paulo(mso)</t>
  </si>
  <si>
    <t>gol</t>
  </si>
  <si>
    <t>blue tree</t>
  </si>
  <si>
    <t>Digite aqui a sua Opinião...</t>
  </si>
  <si>
    <t>Milton Almeida de Moura</t>
  </si>
  <si>
    <t>Analista de Treinamento</t>
  </si>
  <si>
    <t>Recife</t>
  </si>
  <si>
    <t>João Pessoa</t>
  </si>
  <si>
    <t>3 dias</t>
  </si>
  <si>
    <t>Progresso</t>
  </si>
  <si>
    <t>Intercity</t>
  </si>
  <si>
    <t>Keyte Cristine Souza De Lima</t>
  </si>
  <si>
    <t xml:space="preserve">Monitora ativo local </t>
  </si>
  <si>
    <t>Net João Pessoa</t>
  </si>
  <si>
    <t xml:space="preserve">Net Rio De Janeiro </t>
  </si>
  <si>
    <t xml:space="preserve">3 Dias </t>
  </si>
  <si>
    <t xml:space="preserve">Tam </t>
  </si>
  <si>
    <t xml:space="preserve">Caesar Business Rio De Janeiro  Botafogo </t>
  </si>
  <si>
    <t>Eventos</t>
  </si>
  <si>
    <t>Outros</t>
  </si>
  <si>
    <t>Alexandro Fernandes da Silva</t>
  </si>
  <si>
    <t>Monitor Técnico</t>
  </si>
  <si>
    <t>Belo Horizonte</t>
  </si>
  <si>
    <t>TAM e GOL</t>
  </si>
  <si>
    <t>Hotel Ouro Minas</t>
  </si>
  <si>
    <t>Quando chegamos ao local da hospedagem, por volta das 13h, não tinha quarto disponível. Tivemos que aguardar mais de 1h para liberar o quarto.</t>
  </si>
  <si>
    <t>Nadson Ramon Bezerra Cavalcante</t>
  </si>
  <si>
    <t>Monitor de Instalação</t>
  </si>
  <si>
    <t>NET João Pessoa</t>
  </si>
  <si>
    <t>Net Belo Horizonte</t>
  </si>
  <si>
    <t>5 dias</t>
  </si>
  <si>
    <t>TAM e Avianca</t>
  </si>
  <si>
    <t>Digite aqui o seu Comentário...</t>
  </si>
  <si>
    <t>NIELSON DE OLIVEIRA ANGELO</t>
  </si>
  <si>
    <t xml:space="preserve">ASSISTENTE COP </t>
  </si>
  <si>
    <t>NET JOÃO PESSOA / PB</t>
  </si>
  <si>
    <t>NET AMERICANA / SP</t>
  </si>
  <si>
    <t>DO DIA: 05/01 AO DIA: 15/01</t>
  </si>
  <si>
    <t xml:space="preserve">AZUL </t>
  </si>
  <si>
    <t>RITA CARMO DE SOUZA ANDRADE</t>
  </si>
  <si>
    <t>ASSITENTE COP</t>
  </si>
  <si>
    <t>NET JOÃO PESSOA</t>
  </si>
  <si>
    <t>NET AMAERICANA - SP</t>
  </si>
  <si>
    <t xml:space="preserve"> 06 A15 DE JANEIRO DE 2013</t>
  </si>
  <si>
    <t>AZUL LINHAS AEREAS</t>
  </si>
  <si>
    <t>HIEMA AUSTRIAN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</si>
</sst>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2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n5669203\Configura&#231;&#245;es%20locais\Temporary%20Internet%20Files\Content.Outlook\G8DYW47I\PESQUISA_OPINI&#195;O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n5669203\Configura&#231;&#245;es%20locais\Temporary%20Internet%20Files\Content.Outlook\G8DYW47I\PESQUISA_OPINI&#195;O%20(2)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n5669203\Configura&#231;&#245;es%20locais\Temporary%20Internet%20Files\Content.Outlook\GPJAPIEQ\PESQUISA_OPINI&#195;O.xls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ntrada"/>
      <sheetName val="pesquisa"/>
      <sheetName val="resumo"/>
    </sheetNames>
    <sheetDataSet>
      <sheetData sheetId="0" refreshError="1"/>
      <sheetData sheetId="1">
        <row r="1">
          <cell r="D1" t="str">
            <v>Mohit Gheyi</v>
          </cell>
        </row>
        <row r="3">
          <cell r="D3" t="str">
            <v>Coordenador Técnico</v>
          </cell>
        </row>
        <row r="4">
          <cell r="D4" t="str">
            <v>NET João Pessoa</v>
          </cell>
        </row>
        <row r="5">
          <cell r="D5" t="str">
            <v>Net Rio de Janeiro</v>
          </cell>
        </row>
        <row r="6">
          <cell r="D6" t="str">
            <v>19 a 21 de Março</v>
          </cell>
        </row>
        <row r="7">
          <cell r="D7" t="str">
            <v>GOL</v>
          </cell>
        </row>
        <row r="8">
          <cell r="D8" t="str">
            <v>Hotel Novo Mundo / Rio e Janeiro</v>
          </cell>
        </row>
        <row r="78">
          <cell r="A78" t="str">
            <v>Digite aqui o seu Comentário...</v>
          </cell>
        </row>
        <row r="85">
          <cell r="J85">
            <v>41361.375846643517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trada"/>
      <sheetName val="pesquisa"/>
      <sheetName val="resumo"/>
    </sheetNames>
    <sheetDataSet>
      <sheetData sheetId="0"/>
      <sheetData sheetId="1">
        <row r="1">
          <cell r="D1" t="str">
            <v>INACIO DA COSTA RAMOS JUNIOR</v>
          </cell>
        </row>
        <row r="3">
          <cell r="D3" t="str">
            <v xml:space="preserve">GERENTE DE OPERAÇÕES </v>
          </cell>
        </row>
        <row r="4">
          <cell r="D4" t="str">
            <v>JOÃO PESSOA</v>
          </cell>
        </row>
        <row r="5">
          <cell r="D5" t="str">
            <v>RIO DE JANEIRO</v>
          </cell>
        </row>
        <row r="6">
          <cell r="D6" t="str">
            <v>18 A 23/03</v>
          </cell>
        </row>
        <row r="7">
          <cell r="D7" t="str">
            <v>GOL</v>
          </cell>
        </row>
        <row r="8">
          <cell r="D8" t="str">
            <v>HOTEL NOVO MUNDO</v>
          </cell>
        </row>
        <row r="78">
          <cell r="A78" t="str">
            <v>Digite aqui o seu Comentário...</v>
          </cell>
        </row>
        <row r="85">
          <cell r="J85">
            <v>41361.389268287036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entrada"/>
      <sheetName val="pesquisa"/>
      <sheetName val="resumo"/>
    </sheetNames>
    <sheetDataSet>
      <sheetData sheetId="0"/>
      <sheetData sheetId="1">
        <row r="1">
          <cell r="D1" t="str">
            <v>Sannygia Edilaine de Araújo Fragoso</v>
          </cell>
        </row>
        <row r="3">
          <cell r="D3" t="str">
            <v>Analista de Treinamento</v>
          </cell>
        </row>
        <row r="4">
          <cell r="D4" t="str">
            <v>João Pessoa</v>
          </cell>
        </row>
        <row r="5">
          <cell r="D5" t="str">
            <v>Brasília</v>
          </cell>
        </row>
        <row r="6">
          <cell r="D6">
            <v>2</v>
          </cell>
        </row>
        <row r="7">
          <cell r="D7" t="str">
            <v>Avianca/Gol</v>
          </cell>
        </row>
        <row r="8">
          <cell r="D8" t="str">
            <v>Bristol Hotel</v>
          </cell>
        </row>
        <row r="78">
          <cell r="A78" t="str">
            <v xml:space="preserve">Dividi o apartamento com outra colaboradora e ao chegar no hotel a mesma já havia chegado. Informe na recepção que havia uma reserva em meu nome e o recepcionista informou o número do quarto e pediu que eu me direcionasse ao mesmo sem me solicitar nenhum tipo de documento. Não preenchi nenhuma ficha de check-in.  As instalações do hotel eram muito antigas, o ar condicionado do quarto muito ruidoso e em certo momento ficou pingando e como estava localizado acima da cama da Karina tivemos que desliga-lo para parar de gotejar.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</row>
        <row r="85">
          <cell r="J85">
            <v>41422.365683680553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V12"/>
  <sheetViews>
    <sheetView tabSelected="1" workbookViewId="0">
      <selection activeCell="A13" sqref="A13"/>
    </sheetView>
  </sheetViews>
  <sheetFormatPr defaultRowHeight="15"/>
  <cols>
    <col min="1" max="1" width="31.140625" bestFit="1" customWidth="1"/>
    <col min="2" max="2" width="24.28515625" bestFit="1" customWidth="1"/>
    <col min="3" max="3" width="14.85546875" bestFit="1" customWidth="1"/>
    <col min="4" max="4" width="15.7109375" bestFit="1" customWidth="1"/>
    <col min="5" max="5" width="18.28515625" bestFit="1" customWidth="1"/>
    <col min="6" max="6" width="9.7109375" bestFit="1" customWidth="1"/>
    <col min="7" max="7" width="22.85546875" bestFit="1" customWidth="1"/>
    <col min="9" max="9" width="21.85546875" bestFit="1" customWidth="1"/>
    <col min="10" max="10" width="23.85546875" bestFit="1" customWidth="1"/>
    <col min="11" max="11" width="21" bestFit="1" customWidth="1"/>
    <col min="12" max="12" width="23.85546875" bestFit="1" customWidth="1"/>
    <col min="13" max="13" width="20.140625" bestFit="1" customWidth="1"/>
    <col min="14" max="14" width="25.5703125" bestFit="1" customWidth="1"/>
    <col min="15" max="15" width="25.140625" bestFit="1" customWidth="1"/>
    <col min="17" max="17" width="11" bestFit="1" customWidth="1"/>
    <col min="18" max="18" width="22.140625" bestFit="1" customWidth="1"/>
    <col min="19" max="19" width="18.85546875" bestFit="1" customWidth="1"/>
    <col min="20" max="20" width="15.7109375" bestFit="1" customWidth="1"/>
    <col min="21" max="21" width="52.28515625" customWidth="1"/>
    <col min="22" max="22" width="21" customWidth="1"/>
  </cols>
  <sheetData>
    <row r="1" spans="1:22" s="1" customFormat="1">
      <c r="A1" s="1" t="s">
        <v>1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20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21</v>
      </c>
    </row>
    <row r="2" spans="1:22">
      <c r="A2" t="s">
        <v>32</v>
      </c>
      <c r="B2" t="s">
        <v>33</v>
      </c>
      <c r="C2" t="s">
        <v>34</v>
      </c>
      <c r="D2" t="s">
        <v>35</v>
      </c>
      <c r="E2">
        <v>0.20833333333333334</v>
      </c>
      <c r="F2" t="s">
        <v>36</v>
      </c>
      <c r="G2" t="s">
        <v>37</v>
      </c>
      <c r="H2" t="s">
        <v>22</v>
      </c>
      <c r="I2" t="s">
        <v>23</v>
      </c>
      <c r="J2" t="s">
        <v>24</v>
      </c>
      <c r="K2" t="s">
        <v>24</v>
      </c>
      <c r="L2" t="s">
        <v>24</v>
      </c>
      <c r="M2" t="s">
        <v>24</v>
      </c>
      <c r="N2" t="s">
        <v>24</v>
      </c>
      <c r="O2" t="s">
        <v>25</v>
      </c>
      <c r="P2" t="s">
        <v>23</v>
      </c>
      <c r="Q2" t="s">
        <v>23</v>
      </c>
      <c r="R2" t="s">
        <v>23</v>
      </c>
      <c r="S2" t="s">
        <v>23</v>
      </c>
      <c r="T2" t="s">
        <v>23</v>
      </c>
      <c r="U2" t="s">
        <v>38</v>
      </c>
      <c r="V2" s="2" t="s">
        <v>26</v>
      </c>
    </row>
    <row r="3" spans="1:22">
      <c r="A3" t="s">
        <v>46</v>
      </c>
      <c r="B3" t="s">
        <v>47</v>
      </c>
      <c r="C3" t="s">
        <v>48</v>
      </c>
      <c r="D3" t="s">
        <v>49</v>
      </c>
      <c r="E3" t="s">
        <v>50</v>
      </c>
      <c r="F3" t="s">
        <v>51</v>
      </c>
      <c r="G3" t="s">
        <v>52</v>
      </c>
      <c r="H3" t="s">
        <v>22</v>
      </c>
      <c r="I3" t="s">
        <v>23</v>
      </c>
      <c r="J3" t="s">
        <v>24</v>
      </c>
      <c r="K3" t="s">
        <v>24</v>
      </c>
      <c r="L3" t="s">
        <v>24</v>
      </c>
      <c r="M3" t="s">
        <v>24</v>
      </c>
      <c r="N3" t="s">
        <v>24</v>
      </c>
      <c r="O3" t="s">
        <v>25</v>
      </c>
      <c r="P3" t="s">
        <v>23</v>
      </c>
      <c r="Q3" t="s">
        <v>23</v>
      </c>
      <c r="R3" t="s">
        <v>23</v>
      </c>
      <c r="S3" t="s">
        <v>23</v>
      </c>
      <c r="T3" t="s">
        <v>23</v>
      </c>
      <c r="U3" t="s">
        <v>38</v>
      </c>
      <c r="V3" t="s">
        <v>27</v>
      </c>
    </row>
    <row r="4" spans="1:22">
      <c r="A4" t="s">
        <v>39</v>
      </c>
      <c r="B4" t="s">
        <v>40</v>
      </c>
      <c r="C4" t="s">
        <v>41</v>
      </c>
      <c r="D4" t="s">
        <v>42</v>
      </c>
      <c r="E4" t="s">
        <v>43</v>
      </c>
      <c r="F4" t="s">
        <v>44</v>
      </c>
      <c r="G4" t="s">
        <v>45</v>
      </c>
      <c r="H4" t="s">
        <v>22</v>
      </c>
      <c r="I4" t="s">
        <v>23</v>
      </c>
      <c r="J4" t="s">
        <v>28</v>
      </c>
      <c r="K4" t="s">
        <v>28</v>
      </c>
      <c r="L4" t="s">
        <v>29</v>
      </c>
      <c r="M4" t="s">
        <v>24</v>
      </c>
      <c r="N4" t="s">
        <v>29</v>
      </c>
      <c r="O4" t="s">
        <v>25</v>
      </c>
      <c r="P4" t="s">
        <v>23</v>
      </c>
      <c r="Q4" t="s">
        <v>23</v>
      </c>
      <c r="R4" t="s">
        <v>23</v>
      </c>
      <c r="S4" t="s">
        <v>23</v>
      </c>
      <c r="T4" t="s">
        <v>30</v>
      </c>
      <c r="U4">
        <v>0</v>
      </c>
      <c r="V4" s="3" t="s">
        <v>31</v>
      </c>
    </row>
    <row r="5" spans="1:22">
      <c r="A5" t="s">
        <v>55</v>
      </c>
      <c r="B5" t="s">
        <v>56</v>
      </c>
      <c r="C5" t="s">
        <v>42</v>
      </c>
      <c r="D5" t="s">
        <v>57</v>
      </c>
      <c r="E5">
        <v>41227.458333333336</v>
      </c>
      <c r="F5" t="s">
        <v>58</v>
      </c>
      <c r="G5" t="s">
        <v>59</v>
      </c>
      <c r="H5" t="s">
        <v>22</v>
      </c>
      <c r="I5" t="s">
        <v>23</v>
      </c>
      <c r="J5" t="s">
        <v>28</v>
      </c>
      <c r="M5" t="s">
        <v>28</v>
      </c>
      <c r="N5" t="s">
        <v>29</v>
      </c>
      <c r="O5" t="s">
        <v>28</v>
      </c>
      <c r="P5" t="s">
        <v>23</v>
      </c>
      <c r="Q5" t="s">
        <v>23</v>
      </c>
      <c r="R5" t="s">
        <v>30</v>
      </c>
      <c r="S5" t="s">
        <v>30</v>
      </c>
      <c r="T5" t="s">
        <v>30</v>
      </c>
      <c r="U5" t="s">
        <v>60</v>
      </c>
    </row>
    <row r="6" spans="1:22">
      <c r="A6" t="s">
        <v>68</v>
      </c>
      <c r="B6" t="s">
        <v>69</v>
      </c>
      <c r="C6" t="s">
        <v>70</v>
      </c>
      <c r="D6" t="s">
        <v>71</v>
      </c>
      <c r="E6" t="s">
        <v>72</v>
      </c>
      <c r="F6" t="s">
        <v>73</v>
      </c>
      <c r="G6">
        <v>0</v>
      </c>
      <c r="H6" t="s">
        <v>22</v>
      </c>
      <c r="I6" t="s">
        <v>30</v>
      </c>
      <c r="J6" t="s">
        <v>24</v>
      </c>
      <c r="K6" t="s">
        <v>24</v>
      </c>
      <c r="L6" t="s">
        <v>28</v>
      </c>
      <c r="M6" t="s">
        <v>24</v>
      </c>
      <c r="N6" t="s">
        <v>28</v>
      </c>
      <c r="O6" t="s">
        <v>25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67</v>
      </c>
      <c r="V6" s="2">
        <v>41304.394491782405</v>
      </c>
    </row>
    <row r="7" spans="1:22">
      <c r="A7" t="s">
        <v>61</v>
      </c>
      <c r="B7" t="s">
        <v>62</v>
      </c>
      <c r="C7" t="s">
        <v>63</v>
      </c>
      <c r="D7" t="s">
        <v>64</v>
      </c>
      <c r="E7" t="s">
        <v>65</v>
      </c>
      <c r="F7" t="s">
        <v>66</v>
      </c>
      <c r="G7" t="s">
        <v>59</v>
      </c>
      <c r="H7" t="s">
        <v>53</v>
      </c>
      <c r="I7" t="s">
        <v>23</v>
      </c>
      <c r="J7" t="s">
        <v>24</v>
      </c>
      <c r="K7" t="s">
        <v>24</v>
      </c>
      <c r="L7" t="s">
        <v>28</v>
      </c>
      <c r="M7" t="s">
        <v>24</v>
      </c>
      <c r="N7" t="s">
        <v>24</v>
      </c>
      <c r="O7" t="s">
        <v>25</v>
      </c>
      <c r="P7" t="s">
        <v>23</v>
      </c>
      <c r="Q7" t="s">
        <v>23</v>
      </c>
      <c r="R7" t="s">
        <v>23</v>
      </c>
      <c r="S7" t="s">
        <v>23</v>
      </c>
      <c r="T7" t="s">
        <v>23</v>
      </c>
      <c r="U7" t="s">
        <v>67</v>
      </c>
      <c r="V7" s="2">
        <v>41240.46504826389</v>
      </c>
    </row>
    <row r="8" spans="1:22">
      <c r="A8" t="s">
        <v>74</v>
      </c>
      <c r="B8" t="s">
        <v>75</v>
      </c>
      <c r="C8" t="s">
        <v>76</v>
      </c>
      <c r="D8" t="s">
        <v>77</v>
      </c>
      <c r="E8" t="s">
        <v>78</v>
      </c>
      <c r="F8" t="s">
        <v>79</v>
      </c>
      <c r="G8" t="s">
        <v>80</v>
      </c>
      <c r="H8" t="s">
        <v>54</v>
      </c>
      <c r="I8" t="s">
        <v>23</v>
      </c>
      <c r="J8" t="s">
        <v>24</v>
      </c>
      <c r="K8" t="s">
        <v>24</v>
      </c>
      <c r="L8" t="s">
        <v>24</v>
      </c>
      <c r="M8" t="s">
        <v>24</v>
      </c>
      <c r="N8" t="s">
        <v>24</v>
      </c>
      <c r="O8" t="s">
        <v>25</v>
      </c>
      <c r="P8" t="s">
        <v>23</v>
      </c>
      <c r="Q8" t="s">
        <v>23</v>
      </c>
      <c r="R8" t="s">
        <v>23</v>
      </c>
      <c r="S8" t="s">
        <v>23</v>
      </c>
      <c r="T8" t="s">
        <v>23</v>
      </c>
      <c r="U8">
        <v>0</v>
      </c>
      <c r="V8" s="2">
        <v>41304.395259722223</v>
      </c>
    </row>
    <row r="9" spans="1:22">
      <c r="A9" t="s">
        <v>68</v>
      </c>
      <c r="B9" t="s">
        <v>69</v>
      </c>
      <c r="C9" t="s">
        <v>70</v>
      </c>
      <c r="D9" t="s">
        <v>71</v>
      </c>
      <c r="E9" t="s">
        <v>72</v>
      </c>
      <c r="F9" t="s">
        <v>73</v>
      </c>
      <c r="G9">
        <v>0</v>
      </c>
      <c r="H9" t="s">
        <v>22</v>
      </c>
      <c r="I9" t="s">
        <v>23</v>
      </c>
      <c r="J9" t="s">
        <v>24</v>
      </c>
      <c r="K9" t="s">
        <v>24</v>
      </c>
      <c r="L9" t="s">
        <v>24</v>
      </c>
      <c r="M9" t="s">
        <v>24</v>
      </c>
      <c r="N9" t="s">
        <v>24</v>
      </c>
      <c r="O9" t="s">
        <v>25</v>
      </c>
      <c r="P9" t="s">
        <v>23</v>
      </c>
      <c r="Q9" t="s">
        <v>23</v>
      </c>
      <c r="R9" t="s">
        <v>23</v>
      </c>
      <c r="S9" t="s">
        <v>23</v>
      </c>
      <c r="T9" t="s">
        <v>23</v>
      </c>
      <c r="U9" t="s">
        <v>67</v>
      </c>
      <c r="V9" s="2">
        <v>41304.395368865742</v>
      </c>
    </row>
    <row r="10" spans="1:22">
      <c r="A10" t="str">
        <f>[1]pesquisa!$D$1</f>
        <v>Mohit Gheyi</v>
      </c>
      <c r="B10" t="str">
        <f>[1]pesquisa!$D$3</f>
        <v>Coordenador Técnico</v>
      </c>
      <c r="C10" t="str">
        <f>[1]pesquisa!$D$4</f>
        <v>NET João Pessoa</v>
      </c>
      <c r="D10" t="str">
        <f>[1]pesquisa!$D$5</f>
        <v>Net Rio de Janeiro</v>
      </c>
      <c r="E10" t="str">
        <f>[1]pesquisa!$D$6</f>
        <v>19 a 21 de Março</v>
      </c>
      <c r="F10" t="str">
        <f>[1]pesquisa!$D$7</f>
        <v>GOL</v>
      </c>
      <c r="G10" t="str">
        <f>[1]pesquisa!$D$8</f>
        <v>Hotel Novo Mundo / Rio e Janeiro</v>
      </c>
      <c r="H10" t="s">
        <v>22</v>
      </c>
      <c r="I10" t="s">
        <v>23</v>
      </c>
      <c r="J10" t="s">
        <v>24</v>
      </c>
      <c r="K10" t="s">
        <v>24</v>
      </c>
      <c r="L10" t="s">
        <v>24</v>
      </c>
      <c r="M10" t="s">
        <v>24</v>
      </c>
      <c r="N10" t="s">
        <v>28</v>
      </c>
      <c r="O10" t="s">
        <v>28</v>
      </c>
      <c r="P10" t="s">
        <v>23</v>
      </c>
      <c r="Q10" t="s">
        <v>23</v>
      </c>
      <c r="R10" t="s">
        <v>23</v>
      </c>
      <c r="S10" t="s">
        <v>23</v>
      </c>
      <c r="T10" t="s">
        <v>23</v>
      </c>
      <c r="U10" t="str">
        <f>[1]pesquisa!$A$78</f>
        <v>Digite aqui o seu Comentário...</v>
      </c>
      <c r="V10" s="2">
        <f>[1]pesquisa!$J$85</f>
        <v>41361.375846643517</v>
      </c>
    </row>
    <row r="11" spans="1:22">
      <c r="A11" t="str">
        <f>[2]pesquisa!$D$1</f>
        <v>INACIO DA COSTA RAMOS JUNIOR</v>
      </c>
      <c r="B11" t="str">
        <f>[2]pesquisa!$D$3</f>
        <v xml:space="preserve">GERENTE DE OPERAÇÕES </v>
      </c>
      <c r="C11" t="str">
        <f>[2]pesquisa!$D$4</f>
        <v>JOÃO PESSOA</v>
      </c>
      <c r="D11" t="str">
        <f>[2]pesquisa!$D$5</f>
        <v>RIO DE JANEIRO</v>
      </c>
      <c r="E11" t="str">
        <f>[2]pesquisa!$D$6</f>
        <v>18 A 23/03</v>
      </c>
      <c r="F11" t="str">
        <f>[2]pesquisa!$D$7</f>
        <v>GOL</v>
      </c>
      <c r="G11" t="str">
        <f>[2]pesquisa!$D$8</f>
        <v>HOTEL NOVO MUNDO</v>
      </c>
      <c r="H11" t="s">
        <v>22</v>
      </c>
      <c r="I11" t="s">
        <v>23</v>
      </c>
      <c r="J11" t="s">
        <v>24</v>
      </c>
      <c r="K11" t="s">
        <v>24</v>
      </c>
      <c r="L11" t="s">
        <v>24</v>
      </c>
      <c r="M11" t="s">
        <v>24</v>
      </c>
      <c r="N11" t="s">
        <v>28</v>
      </c>
      <c r="O11" t="s">
        <v>28</v>
      </c>
      <c r="P11" t="s">
        <v>23</v>
      </c>
      <c r="Q11" t="s">
        <v>23</v>
      </c>
      <c r="R11" t="s">
        <v>23</v>
      </c>
      <c r="S11" t="s">
        <v>23</v>
      </c>
      <c r="T11" t="s">
        <v>23</v>
      </c>
      <c r="U11" t="str">
        <f>[2]pesquisa!$A$78</f>
        <v>Digite aqui o seu Comentário...</v>
      </c>
      <c r="V11" s="2">
        <f>[2]pesquisa!$J$85</f>
        <v>41361.389268287036</v>
      </c>
    </row>
    <row r="12" spans="1:22">
      <c r="A12" t="str">
        <f>[3]pesquisa!$D$1</f>
        <v>Sannygia Edilaine de Araújo Fragoso</v>
      </c>
      <c r="B12" t="str">
        <f>[3]pesquisa!$D$3</f>
        <v>Analista de Treinamento</v>
      </c>
      <c r="C12" t="str">
        <f>[3]pesquisa!$D$4</f>
        <v>João Pessoa</v>
      </c>
      <c r="D12" t="str">
        <f>[3]pesquisa!$D$5</f>
        <v>Brasília</v>
      </c>
      <c r="E12">
        <f>[3]pesquisa!$D$6</f>
        <v>2</v>
      </c>
      <c r="F12" t="str">
        <f>[3]pesquisa!$D$7</f>
        <v>Avianca/Gol</v>
      </c>
      <c r="G12" t="str">
        <f>[3]pesquisa!$D$8</f>
        <v>Bristol Hotel</v>
      </c>
      <c r="H12" t="s">
        <v>22</v>
      </c>
      <c r="I12" t="s">
        <v>23</v>
      </c>
      <c r="J12" t="s">
        <v>28</v>
      </c>
      <c r="K12" t="s">
        <v>29</v>
      </c>
      <c r="L12" t="s">
        <v>29</v>
      </c>
      <c r="M12" t="s">
        <v>24</v>
      </c>
      <c r="N12" t="s">
        <v>28</v>
      </c>
      <c r="O12" t="s">
        <v>28</v>
      </c>
      <c r="P12" t="s">
        <v>30</v>
      </c>
      <c r="Q12" t="s">
        <v>30</v>
      </c>
      <c r="R12" t="s">
        <v>23</v>
      </c>
      <c r="S12" t="s">
        <v>30</v>
      </c>
      <c r="T12" t="s">
        <v>30</v>
      </c>
      <c r="U12" t="str">
        <f>[3]pesquisa!$A$78</f>
        <v xml:space="preserve">Dividi o apartamento com outra colaboradora e ao chegar no hotel a mesma já havia chegado. Informe na recepção que havia uma reserva em meu nome e o recepcionista informou o número do quarto e pediu que eu me direcionasse ao mesmo sem me solicitar nenhum tipo de documento. Não preenchi nenhuma ficha de check-in.  As instalações do hotel eram muito antigas, o ar condicionado do quarto muito ruidoso e em certo momento ficou pingando e como estava localizado acima da cama da Karina tivemos que desliga-lo para parar de gotejar.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V12" s="2">
        <f ca="1">[3]pesquisa!$J$85</f>
        <v>41422.365683680553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2013-05-28T11:47:26Z</dcterms:modified>
</cp:coreProperties>
</file>