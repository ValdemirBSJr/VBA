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0" yWindow="75" windowWidth="7500" windowHeight="5010"/>
  </bookViews>
  <sheets>
    <sheet name="pagamentos" sheetId="1" r:id="rId1"/>
    <sheet name="medições" sheetId="4" r:id="rId2"/>
    <sheet name="contas" sheetId="2" r:id="rId3"/>
    <sheet name="Plan3" sheetId="3" r:id="rId4"/>
  </sheets>
  <definedNames>
    <definedName name="abr">Plan3!$A$92:$G$100</definedName>
    <definedName name="abril">Plan3!$A$43:$E$52</definedName>
    <definedName name="fev">Plan3!$A$73:$G$80</definedName>
    <definedName name="fevereiro">Plan3!$A$11:$E$23</definedName>
    <definedName name="jan">Plan3!$A$64:$G$71</definedName>
    <definedName name="janeiro">Plan3!$A$1:$E$9</definedName>
    <definedName name="maio">Plan3!$A$54:$E$62</definedName>
    <definedName name="mar">Plan3!$A$82:$G$90</definedName>
    <definedName name="março">Plan3!$A$25:$E$41</definedName>
    <definedName name="mostra_medicao">medições!$A$4:$G$12</definedName>
    <definedName name="mostra_pagamento">pagamentos!$A$4:$E$20</definedName>
  </definedNames>
  <calcPr calcId="125725"/>
</workbook>
</file>

<file path=xl/calcChain.xml><?xml version="1.0" encoding="utf-8"?>
<calcChain xmlns="http://schemas.openxmlformats.org/spreadsheetml/2006/main">
  <c r="I13" i="1"/>
  <c r="I14"/>
  <c r="I12"/>
  <c r="I11"/>
  <c r="I10"/>
  <c r="I9"/>
  <c r="I8"/>
  <c r="I7"/>
  <c r="I15" l="1"/>
</calcChain>
</file>

<file path=xl/comments1.xml><?xml version="1.0" encoding="utf-8"?>
<comments xmlns="http://schemas.openxmlformats.org/spreadsheetml/2006/main">
  <authors>
    <author>VALDEMIR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VALDEMIR:</t>
        </r>
        <r>
          <rPr>
            <sz val="8"/>
            <color indexed="81"/>
            <rFont val="Tahoma"/>
            <family val="2"/>
          </rPr>
          <t xml:space="preserve">
os meses selecionados dizer respeito ao mês de pagamento do serviço.</t>
        </r>
      </text>
    </comment>
  </commentList>
</comments>
</file>

<file path=xl/sharedStrings.xml><?xml version="1.0" encoding="utf-8"?>
<sst xmlns="http://schemas.openxmlformats.org/spreadsheetml/2006/main" count="408" uniqueCount="131">
  <si>
    <t>RELATÓRIO DOS PAGAMENTOS A.A. 2012</t>
  </si>
  <si>
    <t>SELECIONE O MÊS:</t>
  </si>
  <si>
    <t>JANEIRO</t>
  </si>
  <si>
    <t>FEVEREIRO</t>
  </si>
  <si>
    <t>MARÇO</t>
  </si>
  <si>
    <t>ABRIL</t>
  </si>
  <si>
    <t>MAIO</t>
  </si>
  <si>
    <t>DATA</t>
  </si>
  <si>
    <t>PEDIDO</t>
  </si>
  <si>
    <t>FORNECEDOR</t>
  </si>
  <si>
    <t>DESCRIÇÃO</t>
  </si>
  <si>
    <t>DESPESA</t>
  </si>
  <si>
    <t>69321 QI</t>
  </si>
  <si>
    <t>BIGNET TELECOMUNICACOES LTDA</t>
  </si>
  <si>
    <t>COMISSÃO AA</t>
  </si>
  <si>
    <t>69326 QI</t>
  </si>
  <si>
    <t>EARC</t>
  </si>
  <si>
    <t>40451 Q2</t>
  </si>
  <si>
    <t>69349 QI</t>
  </si>
  <si>
    <t xml:space="preserve">GLOBAL SELLING </t>
  </si>
  <si>
    <t>69350 QI</t>
  </si>
  <si>
    <t>JET SERVIÇOS</t>
  </si>
  <si>
    <t>MEDIÇÕES AA</t>
  </si>
  <si>
    <t>69351 QI</t>
  </si>
  <si>
    <t>MV TELECOM</t>
  </si>
  <si>
    <t>69352 QI</t>
  </si>
  <si>
    <t>JC MEDEIROS</t>
  </si>
  <si>
    <t>69355 QI</t>
  </si>
  <si>
    <t>PAULO SANTIAGO</t>
  </si>
  <si>
    <t>71217 QI</t>
  </si>
  <si>
    <t>41628 Q2</t>
  </si>
  <si>
    <t>71224 QI</t>
  </si>
  <si>
    <t>41638 Q2</t>
  </si>
  <si>
    <t>71230 QI</t>
  </si>
  <si>
    <t>71232 QI</t>
  </si>
  <si>
    <t>71490 QI</t>
  </si>
  <si>
    <t>71498 QI</t>
  </si>
  <si>
    <t>BIGNET</t>
  </si>
  <si>
    <t>71497 QI</t>
  </si>
  <si>
    <t>41911 Q2</t>
  </si>
  <si>
    <t>71500 QI</t>
  </si>
  <si>
    <t>71501 QI</t>
  </si>
  <si>
    <t>42850 Q2</t>
  </si>
  <si>
    <t>PAGAMENTO CHURN</t>
  </si>
  <si>
    <t>42854 Q2</t>
  </si>
  <si>
    <t>42860 Q2</t>
  </si>
  <si>
    <t>42864 Q2</t>
  </si>
  <si>
    <t>42866 Q2</t>
  </si>
  <si>
    <t>72765 QI</t>
  </si>
  <si>
    <t>PAGAMENTO AGENTE AUTORIZADO</t>
  </si>
  <si>
    <t>72768 QI</t>
  </si>
  <si>
    <t>72771 QI</t>
  </si>
  <si>
    <t>72946 QI</t>
  </si>
  <si>
    <t>43076 Q2</t>
  </si>
  <si>
    <t>72963 QI</t>
  </si>
  <si>
    <t>43085 Q2</t>
  </si>
  <si>
    <t>72976 QI</t>
  </si>
  <si>
    <t>72977 QI</t>
  </si>
  <si>
    <t>72990 QI</t>
  </si>
  <si>
    <t>43110 Q2</t>
  </si>
  <si>
    <t>74552 QI</t>
  </si>
  <si>
    <t>74557 QI</t>
  </si>
  <si>
    <t>44689 Q2</t>
  </si>
  <si>
    <t>74559 QI</t>
  </si>
  <si>
    <t>74565 QI</t>
  </si>
  <si>
    <t xml:space="preserve">74578 QI </t>
  </si>
  <si>
    <t>74579 QI</t>
  </si>
  <si>
    <t>74586 QI</t>
  </si>
  <si>
    <t>75135 QI</t>
  </si>
  <si>
    <t>TELNET</t>
  </si>
  <si>
    <t>COMISSÃO DE A.A.</t>
  </si>
  <si>
    <t>76267 QI</t>
  </si>
  <si>
    <t>76283 QI</t>
  </si>
  <si>
    <t>76285 QI</t>
  </si>
  <si>
    <t>76290 QI</t>
  </si>
  <si>
    <t>76631 QI</t>
  </si>
  <si>
    <t>76639 QI</t>
  </si>
  <si>
    <t>76646 QI</t>
  </si>
  <si>
    <t>76805 QI</t>
  </si>
  <si>
    <t>GLOBAL</t>
  </si>
  <si>
    <t>TOTAL PAGO NO MÊS:</t>
  </si>
  <si>
    <t>JET</t>
  </si>
  <si>
    <t>TOTAL:</t>
  </si>
  <si>
    <t>−</t>
  </si>
  <si>
    <t>JAN</t>
  </si>
  <si>
    <t>fev</t>
  </si>
  <si>
    <t>mar</t>
  </si>
  <si>
    <t>abr</t>
  </si>
  <si>
    <t>mai</t>
  </si>
  <si>
    <t>RAZÃO SOCIAL AA</t>
  </si>
  <si>
    <t>CIDADE</t>
  </si>
  <si>
    <t>FILIAL FABRICA</t>
  </si>
  <si>
    <t xml:space="preserve">    COMISSÃO TOTAL    </t>
  </si>
  <si>
    <t>PROSPECT (G594)</t>
  </si>
  <si>
    <t>PME (G594 Atividade 8)</t>
  </si>
  <si>
    <t xml:space="preserve">    BASE (G736)    </t>
  </si>
  <si>
    <t>086 - João Pessoa</t>
  </si>
  <si>
    <t>EARC CONTATOS TELEFONICOS LTDA</t>
  </si>
  <si>
    <t>GLOBAL SELLING DO BRASIL LTDA</t>
  </si>
  <si>
    <t>R$ 147,72 (57,72Q2)</t>
  </si>
  <si>
    <t>JET SERVICOS DE TELECOMUNICACOES LTDA</t>
  </si>
  <si>
    <t>-</t>
  </si>
  <si>
    <t>MV TELECOM COMERCIO E SERVICOS LTDA</t>
  </si>
  <si>
    <t>JC MEDEIROS LTDA</t>
  </si>
  <si>
    <t>R$ 256,80 (112,67 Q2)</t>
  </si>
  <si>
    <t>PAULO SANTIAGO CABRAL</t>
  </si>
  <si>
    <t>R$  52,58</t>
  </si>
  <si>
    <t>TELNET TELECOMUNICAÇÕES LTDA - ME</t>
  </si>
  <si>
    <t>.</t>
  </si>
  <si>
    <t xml:space="preserve">                                                  MEDIÇÕES PARA LANÇAMENTO A. A. 2012</t>
  </si>
  <si>
    <t>Cost Code</t>
  </si>
  <si>
    <t>Cost Type</t>
  </si>
  <si>
    <t>Account Description</t>
  </si>
  <si>
    <t>Orçamento Disponível</t>
  </si>
  <si>
    <t>Valor Orçado</t>
  </si>
  <si>
    <t>Valor Comprometid</t>
  </si>
  <si>
    <t>Valor Realizado</t>
  </si>
  <si>
    <t>Job</t>
  </si>
  <si>
    <t>Job Description</t>
  </si>
  <si>
    <t>004</t>
  </si>
  <si>
    <t>341102</t>
  </si>
  <si>
    <t xml:space="preserve">       COMISSÃO TERCEIROS</t>
  </si>
  <si>
    <t xml:space="preserve">   71601G347</t>
  </si>
  <si>
    <t>PTV COM CANAL AGENTES AUTORIZA</t>
  </si>
  <si>
    <t xml:space="preserve">   71601G594</t>
  </si>
  <si>
    <t>PTV REG CANAL AGENTES AUTORIZA</t>
  </si>
  <si>
    <t xml:space="preserve">   71601G736</t>
  </si>
  <si>
    <t>PTV REG AGENTE CREDENCIADO</t>
  </si>
  <si>
    <t>ORÇAMENTO DISPONÍVEL</t>
  </si>
  <si>
    <t>71608G594</t>
  </si>
  <si>
    <t>PTV REG PME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</si>
</sst>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 &quot;#,##0.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4" fontId="6" fillId="4" borderId="0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7" fillId="0" borderId="0" xfId="0" applyFont="1" applyBorder="1"/>
    <xf numFmtId="164" fontId="6" fillId="4" borderId="0" xfId="0" applyNumberFormat="1" applyFont="1" applyFill="1" applyBorder="1" applyAlignment="1">
      <alignment horizontal="center"/>
    </xf>
    <xf numFmtId="14" fontId="7" fillId="0" borderId="0" xfId="0" applyNumberFormat="1" applyFont="1" applyBorder="1"/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164" fontId="9" fillId="0" borderId="0" xfId="0" applyNumberFormat="1" applyFont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7" fillId="0" borderId="0" xfId="0" applyNumberFormat="1" applyFont="1" applyFill="1" applyBorder="1"/>
    <xf numFmtId="14" fontId="7" fillId="0" borderId="0" xfId="0" applyNumberFormat="1" applyFont="1" applyFill="1" applyBorder="1"/>
    <xf numFmtId="164" fontId="7" fillId="0" borderId="0" xfId="0" applyNumberFormat="1" applyFont="1" applyBorder="1"/>
    <xf numFmtId="44" fontId="6" fillId="4" borderId="0" xfId="1" applyFont="1" applyFill="1" applyBorder="1" applyAlignment="1">
      <alignment horizontal="center"/>
    </xf>
    <xf numFmtId="44" fontId="7" fillId="0" borderId="0" xfId="1" applyFont="1" applyBorder="1"/>
    <xf numFmtId="0" fontId="7" fillId="0" borderId="0" xfId="0" applyFont="1" applyBorder="1"/>
    <xf numFmtId="0" fontId="7" fillId="0" borderId="0" xfId="0" applyFont="1" applyBorder="1"/>
    <xf numFmtId="44" fontId="0" fillId="0" borderId="0" xfId="1" applyFont="1" applyBorder="1"/>
    <xf numFmtId="4" fontId="10" fillId="0" borderId="0" xfId="0" applyNumberFormat="1" applyFont="1" applyBorder="1"/>
    <xf numFmtId="44" fontId="11" fillId="0" borderId="0" xfId="1" applyFont="1" applyBorder="1"/>
    <xf numFmtId="0" fontId="7" fillId="0" borderId="0" xfId="0" applyFont="1" applyBorder="1"/>
    <xf numFmtId="44" fontId="7" fillId="0" borderId="0" xfId="1" applyFont="1" applyFill="1" applyBorder="1"/>
    <xf numFmtId="0" fontId="0" fillId="0" borderId="0" xfId="0"/>
    <xf numFmtId="0" fontId="7" fillId="0" borderId="0" xfId="0" applyFont="1" applyBorder="1"/>
    <xf numFmtId="0" fontId="13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4" fillId="8" borderId="12" xfId="0" applyFont="1" applyFill="1" applyBorder="1"/>
    <xf numFmtId="0" fontId="14" fillId="8" borderId="13" xfId="0" applyFont="1" applyFill="1" applyBorder="1"/>
    <xf numFmtId="0" fontId="14" fillId="8" borderId="13" xfId="0" applyFont="1" applyFill="1" applyBorder="1" applyAlignment="1">
      <alignment horizontal="center"/>
    </xf>
    <xf numFmtId="0" fontId="15" fillId="0" borderId="14" xfId="0" applyFont="1" applyFill="1" applyBorder="1"/>
    <xf numFmtId="0" fontId="11" fillId="0" borderId="15" xfId="0" applyFont="1" applyFill="1" applyBorder="1"/>
    <xf numFmtId="0" fontId="11" fillId="0" borderId="15" xfId="0" applyFont="1" applyFill="1" applyBorder="1" applyAlignment="1">
      <alignment horizontal="right"/>
    </xf>
    <xf numFmtId="8" fontId="11" fillId="0" borderId="15" xfId="0" applyNumberFormat="1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8" fontId="11" fillId="0" borderId="15" xfId="0" applyNumberFormat="1" applyFont="1" applyFill="1" applyBorder="1" applyAlignment="1">
      <alignment horizontal="right"/>
    </xf>
    <xf numFmtId="0" fontId="14" fillId="8" borderId="12" xfId="0" applyFont="1" applyFill="1" applyBorder="1" applyAlignment="1">
      <alignment horizontal="center"/>
    </xf>
    <xf numFmtId="0" fontId="15" fillId="0" borderId="12" xfId="0" applyFont="1" applyBorder="1"/>
    <xf numFmtId="0" fontId="11" fillId="0" borderId="12" xfId="0" applyFont="1" applyBorder="1"/>
    <xf numFmtId="0" fontId="11" fillId="0" borderId="12" xfId="0" applyFont="1" applyBorder="1" applyAlignment="1">
      <alignment horizontal="right"/>
    </xf>
    <xf numFmtId="8" fontId="11" fillId="0" borderId="12" xfId="0" applyNumberFormat="1" applyFont="1" applyBorder="1" applyAlignment="1">
      <alignment horizontal="center"/>
    </xf>
    <xf numFmtId="0" fontId="16" fillId="0" borderId="12" xfId="0" applyFont="1" applyBorder="1"/>
    <xf numFmtId="0" fontId="0" fillId="0" borderId="12" xfId="0" applyBorder="1"/>
    <xf numFmtId="0" fontId="0" fillId="0" borderId="12" xfId="0" applyBorder="1" applyAlignment="1">
      <alignment horizontal="right"/>
    </xf>
    <xf numFmtId="8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11" fillId="0" borderId="12" xfId="0" applyFont="1" applyBorder="1" applyAlignment="1">
      <alignment horizontal="center"/>
    </xf>
    <xf numFmtId="8" fontId="10" fillId="0" borderId="15" xfId="0" applyNumberFormat="1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0" fillId="9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9" borderId="21" xfId="0" applyFill="1" applyBorder="1"/>
    <xf numFmtId="0" fontId="0" fillId="9" borderId="22" xfId="0" applyFill="1" applyBorder="1"/>
    <xf numFmtId="0" fontId="0" fillId="9" borderId="15" xfId="0" applyFill="1" applyBorder="1"/>
    <xf numFmtId="0" fontId="0" fillId="9" borderId="0" xfId="0" applyFill="1"/>
    <xf numFmtId="0" fontId="2" fillId="0" borderId="0" xfId="0" applyFont="1"/>
    <xf numFmtId="49" fontId="0" fillId="0" borderId="0" xfId="0" applyNumberFormat="1"/>
    <xf numFmtId="4" fontId="0" fillId="0" borderId="0" xfId="0" applyNumberFormat="1"/>
    <xf numFmtId="49" fontId="2" fillId="0" borderId="0" xfId="0" applyNumberFormat="1" applyFont="1"/>
    <xf numFmtId="0" fontId="2" fillId="7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7" fillId="9" borderId="16" xfId="0" applyFont="1" applyFill="1" applyBorder="1" applyAlignment="1">
      <alignment horizontal="left"/>
    </xf>
    <xf numFmtId="0" fontId="17" fillId="9" borderId="17" xfId="0" applyFont="1" applyFill="1" applyBorder="1" applyAlignment="1">
      <alignment horizontal="left"/>
    </xf>
    <xf numFmtId="0" fontId="17" fillId="9" borderId="18" xfId="0" applyFont="1" applyFill="1" applyBorder="1" applyAlignment="1">
      <alignment horizontal="left"/>
    </xf>
    <xf numFmtId="0" fontId="2" fillId="9" borderId="22" xfId="0" applyFont="1" applyFill="1" applyBorder="1" applyAlignment="1">
      <alignment horizontal="center"/>
    </xf>
    <xf numFmtId="0" fontId="19" fillId="9" borderId="0" xfId="0" applyFont="1" applyFill="1" applyAlignment="1">
      <alignment horizontal="center" vertical="top"/>
    </xf>
    <xf numFmtId="0" fontId="18" fillId="9" borderId="0" xfId="0" applyFont="1" applyFill="1" applyAlignment="1">
      <alignment horizontal="center" vertical="top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0</xdr:row>
      <xdr:rowOff>9524</xdr:rowOff>
    </xdr:from>
    <xdr:to>
      <xdr:col>2</xdr:col>
      <xdr:colOff>150175</xdr:colOff>
      <xdr:row>2</xdr:row>
      <xdr:rowOff>171450</xdr:rowOff>
    </xdr:to>
    <xdr:pic>
      <xdr:nvPicPr>
        <xdr:cNvPr id="2" name="Imagem 1" descr="ne_logo_tabela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49" y="9524"/>
          <a:ext cx="1455101" cy="590551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133349</xdr:colOff>
      <xdr:row>0</xdr:row>
      <xdr:rowOff>1</xdr:rowOff>
    </xdr:from>
    <xdr:to>
      <xdr:col>0</xdr:col>
      <xdr:colOff>1019174</xdr:colOff>
      <xdr:row>2</xdr:row>
      <xdr:rowOff>152400</xdr:rowOff>
    </xdr:to>
    <xdr:pic>
      <xdr:nvPicPr>
        <xdr:cNvPr id="2" name="Imagem 1" descr="ne_logo_tabela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3349" y="1"/>
          <a:ext cx="885825" cy="542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1</xdr:col>
      <xdr:colOff>457200</xdr:colOff>
      <xdr:row>3</xdr:row>
      <xdr:rowOff>9525</xdr:rowOff>
    </xdr:to>
    <xdr:pic>
      <xdr:nvPicPr>
        <xdr:cNvPr id="4" name="Imagem 3" descr="ne_logo_tabela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0"/>
          <a:ext cx="1057275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R47"/>
  <sheetViews>
    <sheetView tabSelected="1" workbookViewId="0">
      <selection activeCell="D3" sqref="D3"/>
    </sheetView>
  </sheetViews>
  <sheetFormatPr defaultRowHeight="15"/>
  <cols>
    <col min="1" max="1" width="10.7109375" customWidth="1"/>
    <col min="3" max="3" width="18" customWidth="1"/>
    <col min="4" max="4" width="24.140625" customWidth="1"/>
    <col min="5" max="5" width="17.140625" customWidth="1"/>
    <col min="8" max="8" width="11.85546875" customWidth="1"/>
    <col min="9" max="9" width="17.7109375" customWidth="1"/>
  </cols>
  <sheetData>
    <row r="1" spans="1:18" ht="18.75">
      <c r="A1" s="71" t="s">
        <v>0</v>
      </c>
      <c r="B1" s="72"/>
      <c r="C1" s="72"/>
      <c r="D1" s="72"/>
      <c r="E1" s="72"/>
      <c r="F1" s="72"/>
      <c r="G1" s="72"/>
      <c r="H1" s="2"/>
      <c r="I1" s="65"/>
      <c r="R1" t="s">
        <v>2</v>
      </c>
    </row>
    <row r="2" spans="1:18">
      <c r="A2" s="3"/>
      <c r="B2" s="4"/>
      <c r="C2" s="4"/>
      <c r="D2" s="4"/>
      <c r="E2" s="4"/>
      <c r="F2" s="4"/>
      <c r="G2" s="4"/>
      <c r="H2" s="5"/>
      <c r="I2" s="65"/>
      <c r="R2" t="s">
        <v>3</v>
      </c>
    </row>
    <row r="3" spans="1:18">
      <c r="A3" s="6"/>
      <c r="B3" s="7"/>
      <c r="C3" s="7"/>
      <c r="D3" s="7"/>
      <c r="E3" s="7"/>
      <c r="F3" s="73" t="s">
        <v>1</v>
      </c>
      <c r="G3" s="73"/>
      <c r="H3" s="8">
        <v>5</v>
      </c>
      <c r="R3" t="s">
        <v>4</v>
      </c>
    </row>
    <row r="4" spans="1:18">
      <c r="A4" s="9" t="s">
        <v>7</v>
      </c>
      <c r="B4" s="10" t="s">
        <v>8</v>
      </c>
      <c r="C4" s="10" t="s">
        <v>9</v>
      </c>
      <c r="D4" s="10" t="s">
        <v>10</v>
      </c>
      <c r="E4" s="22" t="s">
        <v>11</v>
      </c>
      <c r="R4" t="s">
        <v>5</v>
      </c>
    </row>
    <row r="5" spans="1:18">
      <c r="A5" s="20">
        <v>41040</v>
      </c>
      <c r="B5" s="18" t="s">
        <v>71</v>
      </c>
      <c r="C5" s="18" t="s">
        <v>16</v>
      </c>
      <c r="D5" s="18" t="s">
        <v>49</v>
      </c>
      <c r="E5" s="30">
        <v>28572.560000000001</v>
      </c>
      <c r="R5" t="s">
        <v>6</v>
      </c>
    </row>
    <row r="6" spans="1:18">
      <c r="A6" s="20">
        <v>41040</v>
      </c>
      <c r="B6" s="18" t="s">
        <v>72</v>
      </c>
      <c r="C6" s="18" t="s">
        <v>19</v>
      </c>
      <c r="D6" s="18" t="s">
        <v>14</v>
      </c>
      <c r="E6" s="30">
        <v>3105</v>
      </c>
      <c r="G6" s="74" t="s">
        <v>80</v>
      </c>
      <c r="H6" s="74"/>
      <c r="I6" s="31"/>
      <c r="J6" s="31"/>
    </row>
    <row r="7" spans="1:18">
      <c r="A7" s="20">
        <v>41040</v>
      </c>
      <c r="B7" s="18" t="s">
        <v>73</v>
      </c>
      <c r="C7" s="18" t="s">
        <v>21</v>
      </c>
      <c r="D7" s="18" t="s">
        <v>49</v>
      </c>
      <c r="E7" s="30">
        <v>7416.36</v>
      </c>
      <c r="G7" s="70" t="s">
        <v>37</v>
      </c>
      <c r="H7" s="70"/>
      <c r="I7" s="36">
        <f>IF(H3=1,G40,IF(H3=2,H40,IF(H3=3,I40,IF(H3=4,J40,IF(H3=5,K40,"")))))</f>
        <v>139502.24</v>
      </c>
      <c r="J7" s="31"/>
    </row>
    <row r="8" spans="1:18">
      <c r="A8" s="20">
        <v>41040</v>
      </c>
      <c r="B8" s="18" t="s">
        <v>74</v>
      </c>
      <c r="C8" s="18" t="s">
        <v>26</v>
      </c>
      <c r="D8" s="18" t="s">
        <v>49</v>
      </c>
      <c r="E8" s="30">
        <v>23544.97</v>
      </c>
      <c r="G8" s="70" t="s">
        <v>16</v>
      </c>
      <c r="H8" s="70"/>
      <c r="I8" s="36">
        <f>IF(H3=1,G41,IF(H3=2,H41,IF(H3=3,I41,IF(H3=4,J41,IF(H3=5,K41,"")))))</f>
        <v>28572.560000000001</v>
      </c>
      <c r="J8" s="31"/>
    </row>
    <row r="9" spans="1:18">
      <c r="A9" s="20">
        <v>41045</v>
      </c>
      <c r="B9" s="18" t="s">
        <v>75</v>
      </c>
      <c r="C9" s="18" t="s">
        <v>37</v>
      </c>
      <c r="D9" s="18" t="s">
        <v>22</v>
      </c>
      <c r="E9" s="30">
        <v>46892.76</v>
      </c>
      <c r="G9" s="70" t="s">
        <v>79</v>
      </c>
      <c r="H9" s="70"/>
      <c r="I9" s="36">
        <f>IF(H3=1,G42,IF(H3=2,H42,IF(H3=3,I42,IF(H3=4,J42,IF(H3=5,K42,"")))))</f>
        <v>6811.84</v>
      </c>
      <c r="J9" s="31"/>
    </row>
    <row r="10" spans="1:18">
      <c r="A10" s="20">
        <v>41045</v>
      </c>
      <c r="B10" s="18" t="s">
        <v>76</v>
      </c>
      <c r="C10" s="18" t="s">
        <v>24</v>
      </c>
      <c r="D10" s="18" t="s">
        <v>49</v>
      </c>
      <c r="E10" s="30">
        <v>15463.32</v>
      </c>
      <c r="G10" s="70" t="s">
        <v>81</v>
      </c>
      <c r="H10" s="70"/>
      <c r="I10" s="36">
        <f>IF(H3=1,G43,IF(H3=2,H43,IF(H3=3,I43,IF(H3=4,J43,IF(H3=5,K43,"")))))</f>
        <v>7416.36</v>
      </c>
      <c r="J10" s="31"/>
    </row>
    <row r="11" spans="1:18">
      <c r="A11" s="20">
        <v>41045</v>
      </c>
      <c r="B11" s="18" t="s">
        <v>77</v>
      </c>
      <c r="C11" s="18" t="s">
        <v>28</v>
      </c>
      <c r="D11" s="18" t="s">
        <v>22</v>
      </c>
      <c r="E11" s="30">
        <v>3733.56</v>
      </c>
      <c r="G11" s="70" t="s">
        <v>24</v>
      </c>
      <c r="H11" s="70"/>
      <c r="I11" s="36">
        <f>IF(H3=1,G44,IF(H3=2,H44,IF(H3=3,I44,IF(H3=4,J44,IF(H3=5,K44,"")))))</f>
        <v>15463.32</v>
      </c>
      <c r="J11" s="31"/>
    </row>
    <row r="12" spans="1:18">
      <c r="A12" s="20">
        <v>41047</v>
      </c>
      <c r="B12" s="18" t="s">
        <v>78</v>
      </c>
      <c r="C12" s="18" t="s">
        <v>69</v>
      </c>
      <c r="D12" s="18" t="s">
        <v>22</v>
      </c>
      <c r="E12" s="30">
        <v>30977.39</v>
      </c>
      <c r="G12" s="70" t="s">
        <v>26</v>
      </c>
      <c r="H12" s="70"/>
      <c r="I12" s="36">
        <f>IF(H3=1,G45,IF(H3=2,H45,IF(H3=3,I45,IF(H3=4,J45,IF(H3=5,K45,"")))))</f>
        <v>79986.23</v>
      </c>
      <c r="J12" s="31"/>
    </row>
    <row r="13" spans="1:18">
      <c r="A13" s="13"/>
      <c r="B13" s="32"/>
      <c r="C13" s="18"/>
      <c r="D13" s="18"/>
      <c r="E13" s="23"/>
      <c r="G13" s="70" t="s">
        <v>28</v>
      </c>
      <c r="H13" s="70"/>
      <c r="I13" s="36">
        <f>IF(H3=1,G46,IF(H3=2,H46,IF(H3=3,I46,IF(H3=4,J46,IF(H3=5,K46,"")))))</f>
        <v>5599.78</v>
      </c>
      <c r="J13" s="31"/>
    </row>
    <row r="14" spans="1:18">
      <c r="A14" s="13"/>
      <c r="B14" s="32"/>
      <c r="C14" s="18"/>
      <c r="D14" s="18"/>
      <c r="E14" s="23"/>
      <c r="G14" s="70" t="s">
        <v>69</v>
      </c>
      <c r="H14" s="70"/>
      <c r="I14" s="36">
        <f>IF(H3=1,G47,IF(H3=2,H47,IF(H3=3,I47,IF(H3=4,J47,IF(H3=5,K47,"")))))</f>
        <v>32837.15</v>
      </c>
      <c r="J14" s="31"/>
    </row>
    <row r="15" spans="1:18" ht="15.75">
      <c r="A15" s="13"/>
      <c r="B15" s="32"/>
      <c r="C15" s="32"/>
      <c r="D15" s="18"/>
      <c r="E15" s="23"/>
      <c r="G15" s="75" t="s">
        <v>82</v>
      </c>
      <c r="H15" s="76"/>
      <c r="I15" s="35">
        <f>SUM(I7:I14)</f>
        <v>316189.48000000004</v>
      </c>
    </row>
    <row r="16" spans="1:18">
      <c r="A16" s="13"/>
      <c r="B16" s="32"/>
      <c r="C16" s="32"/>
      <c r="D16" s="18"/>
      <c r="E16" s="23"/>
    </row>
    <row r="17" spans="1:5">
      <c r="A17" s="13"/>
      <c r="B17" s="32"/>
      <c r="C17" s="18"/>
      <c r="D17" s="32"/>
      <c r="E17" s="23"/>
    </row>
    <row r="18" spans="1:5">
      <c r="A18" s="13"/>
      <c r="B18" s="32"/>
      <c r="C18" s="18"/>
      <c r="D18" s="18"/>
      <c r="E18" s="23"/>
    </row>
    <row r="19" spans="1:5">
      <c r="A19" s="13"/>
      <c r="B19" s="32"/>
      <c r="C19" s="18"/>
      <c r="D19" s="18"/>
      <c r="E19" s="23"/>
    </row>
    <row r="20" spans="1:5">
      <c r="A20" s="13"/>
      <c r="B20" s="32"/>
      <c r="C20" s="18"/>
      <c r="D20" s="18"/>
      <c r="E20" s="23"/>
    </row>
    <row r="39" spans="5:11" hidden="1">
      <c r="G39" s="31" t="s">
        <v>84</v>
      </c>
      <c r="H39" s="31" t="s">
        <v>85</v>
      </c>
      <c r="I39" s="31" t="s">
        <v>86</v>
      </c>
      <c r="J39" s="31" t="s">
        <v>87</v>
      </c>
      <c r="K39" s="31" t="s">
        <v>88</v>
      </c>
    </row>
    <row r="40" spans="5:11" hidden="1">
      <c r="E40" s="70" t="s">
        <v>37</v>
      </c>
      <c r="F40" s="70"/>
      <c r="G40" s="1">
        <v>168887.67999999999</v>
      </c>
      <c r="H40" s="1">
        <v>185047.09</v>
      </c>
      <c r="I40" s="1">
        <v>92609.48</v>
      </c>
      <c r="J40" s="1">
        <v>165181.31</v>
      </c>
      <c r="K40" s="34">
        <v>139502.24</v>
      </c>
    </row>
    <row r="41" spans="5:11" hidden="1">
      <c r="E41" s="70" t="s">
        <v>16</v>
      </c>
      <c r="F41" s="70"/>
      <c r="G41" s="1">
        <v>63442.18</v>
      </c>
      <c r="H41" s="1">
        <v>25798.22</v>
      </c>
      <c r="I41" s="1">
        <v>37306.339999999997</v>
      </c>
      <c r="J41" s="1">
        <v>29888.21</v>
      </c>
      <c r="K41" s="31">
        <v>28572.560000000001</v>
      </c>
    </row>
    <row r="42" spans="5:11" hidden="1">
      <c r="E42" s="70" t="s">
        <v>79</v>
      </c>
      <c r="F42" s="70"/>
      <c r="G42" s="1">
        <v>4621.88</v>
      </c>
      <c r="H42" s="1">
        <v>4880.28</v>
      </c>
      <c r="I42" s="1">
        <v>4169.51</v>
      </c>
      <c r="J42" s="1">
        <v>37194.69</v>
      </c>
      <c r="K42" s="34">
        <v>6811.84</v>
      </c>
    </row>
    <row r="43" spans="5:11" hidden="1">
      <c r="E43" s="70" t="s">
        <v>81</v>
      </c>
      <c r="F43" s="70"/>
      <c r="G43" s="1">
        <v>9447.08</v>
      </c>
      <c r="H43" s="1">
        <v>5646.24</v>
      </c>
      <c r="I43" s="1">
        <v>15285.96</v>
      </c>
      <c r="J43" s="1">
        <v>10453.32</v>
      </c>
      <c r="K43" s="31">
        <v>7416.36</v>
      </c>
    </row>
    <row r="44" spans="5:11" hidden="1">
      <c r="E44" s="70" t="s">
        <v>24</v>
      </c>
      <c r="F44" s="70"/>
      <c r="G44" s="1">
        <v>20886.12</v>
      </c>
      <c r="H44" s="1">
        <v>18531.72</v>
      </c>
      <c r="I44" s="1">
        <v>21058.26</v>
      </c>
      <c r="J44" s="1">
        <v>14393.16</v>
      </c>
      <c r="K44" s="31">
        <v>15463.32</v>
      </c>
    </row>
    <row r="45" spans="5:11" hidden="1">
      <c r="E45" s="70" t="s">
        <v>26</v>
      </c>
      <c r="F45" s="70"/>
      <c r="G45" s="1">
        <v>89809.66</v>
      </c>
      <c r="H45" s="1">
        <v>107765.33</v>
      </c>
      <c r="I45" s="1">
        <v>48423.93</v>
      </c>
      <c r="J45" s="1">
        <v>109329.63</v>
      </c>
      <c r="K45" s="34">
        <v>79986.23</v>
      </c>
    </row>
    <row r="46" spans="5:11" hidden="1">
      <c r="E46" s="70" t="s">
        <v>28</v>
      </c>
      <c r="F46" s="70"/>
      <c r="G46" s="1">
        <v>4325.38</v>
      </c>
      <c r="H46" s="1">
        <v>5870.94</v>
      </c>
      <c r="I46" s="1">
        <v>7859.16</v>
      </c>
      <c r="J46" s="1">
        <v>6707.86</v>
      </c>
      <c r="K46" s="34">
        <v>5599.78</v>
      </c>
    </row>
    <row r="47" spans="5:11" hidden="1">
      <c r="E47" s="70" t="s">
        <v>69</v>
      </c>
      <c r="F47" s="70"/>
      <c r="G47" s="33" t="s">
        <v>83</v>
      </c>
      <c r="H47" s="33" t="s">
        <v>83</v>
      </c>
      <c r="I47" s="33" t="s">
        <v>83</v>
      </c>
      <c r="J47" s="1">
        <v>1859.76</v>
      </c>
      <c r="K47" s="34">
        <v>32837.15</v>
      </c>
    </row>
  </sheetData>
  <mergeCells count="20">
    <mergeCell ref="E44:F44"/>
    <mergeCell ref="E45:F45"/>
    <mergeCell ref="E46:F46"/>
    <mergeCell ref="E47:F47"/>
    <mergeCell ref="G15:H15"/>
    <mergeCell ref="E40:F40"/>
    <mergeCell ref="E41:F41"/>
    <mergeCell ref="E42:F42"/>
    <mergeCell ref="E43:F43"/>
    <mergeCell ref="G14:H14"/>
    <mergeCell ref="G13:H13"/>
    <mergeCell ref="G12:H12"/>
    <mergeCell ref="G11:H11"/>
    <mergeCell ref="G10:H10"/>
    <mergeCell ref="G9:H9"/>
    <mergeCell ref="A1:G1"/>
    <mergeCell ref="F3:G3"/>
    <mergeCell ref="G6:H6"/>
    <mergeCell ref="G7:H7"/>
    <mergeCell ref="G8:H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control shapeId="1027" r:id="rId4" name="Imag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I12"/>
  <sheetViews>
    <sheetView workbookViewId="0">
      <selection activeCell="D2" sqref="D2"/>
    </sheetView>
  </sheetViews>
  <sheetFormatPr defaultRowHeight="15"/>
  <cols>
    <col min="1" max="1" width="31.140625" customWidth="1"/>
    <col min="2" max="2" width="16" customWidth="1"/>
    <col min="3" max="3" width="8.85546875" customWidth="1"/>
    <col min="4" max="4" width="13.28515625" customWidth="1"/>
    <col min="5" max="5" width="13.42578125" customWidth="1"/>
    <col min="6" max="6" width="12.7109375" customWidth="1"/>
    <col min="7" max="7" width="17.5703125" customWidth="1"/>
    <col min="8" max="8" width="2.28515625" customWidth="1"/>
    <col min="9" max="9" width="13.28515625" customWidth="1"/>
  </cols>
  <sheetData>
    <row r="1" spans="1:9" ht="15.75">
      <c r="A1" s="77" t="s">
        <v>109</v>
      </c>
      <c r="B1" s="78"/>
      <c r="C1" s="78"/>
      <c r="D1" s="78"/>
      <c r="E1" s="78"/>
      <c r="F1" s="78"/>
      <c r="G1" s="78"/>
      <c r="H1" s="78"/>
      <c r="I1" s="79"/>
    </row>
    <row r="2" spans="1:9">
      <c r="A2" s="59"/>
      <c r="B2" s="60"/>
      <c r="C2" s="60"/>
      <c r="D2" s="60"/>
      <c r="E2" s="60"/>
      <c r="F2" s="60"/>
      <c r="G2" s="60"/>
      <c r="H2" s="60"/>
      <c r="I2" s="61"/>
    </row>
    <row r="3" spans="1:9" ht="15.75" thickBot="1">
      <c r="A3" s="62"/>
      <c r="B3" s="63"/>
      <c r="C3" s="63"/>
      <c r="D3" s="63"/>
      <c r="E3" s="63"/>
      <c r="F3" s="63"/>
      <c r="G3" s="80" t="s">
        <v>1</v>
      </c>
      <c r="H3" s="80"/>
      <c r="I3" s="64">
        <v>2</v>
      </c>
    </row>
    <row r="4" spans="1:9" ht="15.75" thickBot="1">
      <c r="A4" s="37" t="s">
        <v>89</v>
      </c>
      <c r="B4" s="38" t="s">
        <v>90</v>
      </c>
      <c r="C4" s="38" t="s">
        <v>91</v>
      </c>
      <c r="D4" s="38" t="s">
        <v>92</v>
      </c>
      <c r="E4" s="39" t="s">
        <v>93</v>
      </c>
      <c r="F4" s="38" t="s">
        <v>94</v>
      </c>
      <c r="G4" s="38" t="s">
        <v>95</v>
      </c>
    </row>
    <row r="5" spans="1:9" ht="15.75" thickBot="1">
      <c r="A5" s="40" t="s">
        <v>13</v>
      </c>
      <c r="B5" s="41" t="s">
        <v>96</v>
      </c>
      <c r="C5" s="42">
        <v>71601</v>
      </c>
      <c r="D5" s="43">
        <v>75015.78</v>
      </c>
      <c r="E5" s="43">
        <v>72905.899999999994</v>
      </c>
      <c r="F5" s="43">
        <v>1653.7</v>
      </c>
      <c r="G5" s="43">
        <v>456.19</v>
      </c>
    </row>
    <row r="6" spans="1:9" ht="15.75" thickBot="1">
      <c r="A6" s="40" t="s">
        <v>97</v>
      </c>
      <c r="B6" s="41" t="s">
        <v>96</v>
      </c>
      <c r="C6" s="42">
        <v>71601</v>
      </c>
      <c r="D6" s="43">
        <v>28468.55</v>
      </c>
      <c r="E6" s="43">
        <v>27755.439999999999</v>
      </c>
      <c r="F6" s="43">
        <v>660.53</v>
      </c>
      <c r="G6" s="44" t="s">
        <v>106</v>
      </c>
    </row>
    <row r="7" spans="1:9" ht="15.75" thickBot="1">
      <c r="A7" s="40" t="s">
        <v>98</v>
      </c>
      <c r="B7" s="41" t="s">
        <v>96</v>
      </c>
      <c r="C7" s="42">
        <v>71601</v>
      </c>
      <c r="D7" s="43">
        <v>3706.84</v>
      </c>
      <c r="E7" s="43">
        <v>2811.24</v>
      </c>
      <c r="F7" s="43">
        <v>751.68</v>
      </c>
      <c r="G7" s="43">
        <v>143.91999999999999</v>
      </c>
    </row>
    <row r="8" spans="1:9" ht="15.75" thickBot="1">
      <c r="A8" s="40" t="s">
        <v>100</v>
      </c>
      <c r="B8" s="41" t="s">
        <v>96</v>
      </c>
      <c r="C8" s="42">
        <v>71601</v>
      </c>
      <c r="D8" s="43">
        <v>12216.64</v>
      </c>
      <c r="E8" s="43">
        <v>11975.8</v>
      </c>
      <c r="F8" s="43">
        <v>224.64</v>
      </c>
      <c r="G8" s="44">
        <v>16.2</v>
      </c>
    </row>
    <row r="9" spans="1:9" ht="15.75" thickBot="1">
      <c r="A9" s="40" t="s">
        <v>102</v>
      </c>
      <c r="B9" s="41" t="s">
        <v>96</v>
      </c>
      <c r="C9" s="42">
        <v>71601</v>
      </c>
      <c r="D9" s="43">
        <v>12858.12</v>
      </c>
      <c r="E9" s="43">
        <v>11688.48</v>
      </c>
      <c r="F9" s="45">
        <v>1164.24</v>
      </c>
      <c r="G9" s="43">
        <v>5.4</v>
      </c>
    </row>
    <row r="10" spans="1:9" ht="15.75" thickBot="1">
      <c r="A10" s="40" t="s">
        <v>103</v>
      </c>
      <c r="B10" s="41" t="s">
        <v>96</v>
      </c>
      <c r="C10" s="42">
        <v>71601</v>
      </c>
      <c r="D10" s="43">
        <v>40977.94</v>
      </c>
      <c r="E10" s="43">
        <v>34372.94</v>
      </c>
      <c r="F10" s="43">
        <v>6605</v>
      </c>
      <c r="G10" s="44" t="s">
        <v>101</v>
      </c>
    </row>
    <row r="11" spans="1:9" ht="15.75" thickBot="1">
      <c r="A11" s="40" t="s">
        <v>105</v>
      </c>
      <c r="B11" s="41" t="s">
        <v>96</v>
      </c>
      <c r="C11" s="42">
        <v>71601</v>
      </c>
      <c r="D11" s="43">
        <v>7859.16</v>
      </c>
      <c r="E11" s="43">
        <v>7671.24</v>
      </c>
      <c r="F11" s="43">
        <v>187.92</v>
      </c>
      <c r="G11" s="44" t="s">
        <v>101</v>
      </c>
    </row>
    <row r="12" spans="1:9" ht="15.75" thickBot="1">
      <c r="A12" s="40" t="s">
        <v>107</v>
      </c>
      <c r="B12" s="41" t="s">
        <v>96</v>
      </c>
      <c r="C12" s="42">
        <v>71601</v>
      </c>
      <c r="D12" s="57">
        <v>30977.38</v>
      </c>
      <c r="E12" s="57">
        <v>28639.66</v>
      </c>
      <c r="F12" s="57">
        <v>2080</v>
      </c>
      <c r="G12" s="58">
        <v>257.73</v>
      </c>
    </row>
  </sheetData>
  <mergeCells count="2">
    <mergeCell ref="A1:I1"/>
    <mergeCell ref="G3:H3"/>
  </mergeCells>
  <pageMargins left="0.511811024" right="0.511811024" top="0.78740157499999996" bottom="0.78740157499999996" header="0.31496062000000002" footer="0.31496062000000002"/>
  <drawing r:id="rId1"/>
  <legacyDrawing r:id="rId2"/>
  <controls>
    <control shapeId="2050" r:id="rId3" name="Image1"/>
    <control shapeId="2051" r:id="rId4" name="Image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I8"/>
  <sheetViews>
    <sheetView workbookViewId="0">
      <selection activeCell="D8" sqref="D8"/>
    </sheetView>
  </sheetViews>
  <sheetFormatPr defaultRowHeight="15"/>
  <cols>
    <col min="1" max="1" width="9.85546875" bestFit="1" customWidth="1"/>
    <col min="2" max="2" width="9.5703125" bestFit="1" customWidth="1"/>
    <col min="3" max="3" width="23.85546875" bestFit="1" customWidth="1"/>
    <col min="4" max="4" width="21" bestFit="1" customWidth="1"/>
    <col min="5" max="5" width="12.42578125" bestFit="1" customWidth="1"/>
    <col min="6" max="6" width="18.7109375" bestFit="1" customWidth="1"/>
    <col min="7" max="7" width="14.85546875" bestFit="1" customWidth="1"/>
    <col min="8" max="8" width="11.5703125" bestFit="1" customWidth="1"/>
    <col min="9" max="9" width="34.28515625" bestFit="1" customWidth="1"/>
  </cols>
  <sheetData>
    <row r="1" spans="1:9" s="31" customFormat="1">
      <c r="A1" s="81" t="s">
        <v>128</v>
      </c>
      <c r="B1" s="82"/>
      <c r="C1" s="82"/>
      <c r="D1" s="82"/>
      <c r="E1" s="82"/>
      <c r="F1" s="82"/>
      <c r="G1" s="82"/>
      <c r="H1" s="82"/>
      <c r="I1" s="82"/>
    </row>
    <row r="2" spans="1:9" s="31" customFormat="1">
      <c r="A2" s="82"/>
      <c r="B2" s="82"/>
      <c r="C2" s="82"/>
      <c r="D2" s="82"/>
      <c r="E2" s="82"/>
      <c r="F2" s="82"/>
      <c r="G2" s="82"/>
      <c r="H2" s="82"/>
      <c r="I2" s="82"/>
    </row>
    <row r="3" spans="1:9">
      <c r="A3" s="82"/>
      <c r="B3" s="82"/>
      <c r="C3" s="82"/>
      <c r="D3" s="82"/>
      <c r="E3" s="82"/>
      <c r="F3" s="82"/>
      <c r="G3" s="82"/>
      <c r="H3" s="82"/>
      <c r="I3" s="82"/>
    </row>
    <row r="4" spans="1:9">
      <c r="A4" s="66" t="s">
        <v>110</v>
      </c>
      <c r="B4" s="66" t="s">
        <v>111</v>
      </c>
      <c r="C4" s="66" t="s">
        <v>112</v>
      </c>
      <c r="D4" s="66" t="s">
        <v>113</v>
      </c>
      <c r="E4" s="66" t="s">
        <v>114</v>
      </c>
      <c r="F4" s="66" t="s">
        <v>115</v>
      </c>
      <c r="G4" s="66" t="s">
        <v>116</v>
      </c>
      <c r="H4" s="66" t="s">
        <v>117</v>
      </c>
      <c r="I4" s="66" t="s">
        <v>118</v>
      </c>
    </row>
    <row r="5" spans="1:9">
      <c r="A5" s="67" t="s">
        <v>119</v>
      </c>
      <c r="B5" s="67" t="s">
        <v>120</v>
      </c>
      <c r="C5" s="67" t="s">
        <v>121</v>
      </c>
      <c r="D5" s="68">
        <v>13706.42</v>
      </c>
      <c r="E5" s="68">
        <v>65259</v>
      </c>
      <c r="F5" s="68">
        <v>5942.97</v>
      </c>
      <c r="G5" s="68">
        <v>45609.61</v>
      </c>
      <c r="H5" s="31" t="s">
        <v>122</v>
      </c>
      <c r="I5" s="67" t="s">
        <v>123</v>
      </c>
    </row>
    <row r="6" spans="1:9">
      <c r="A6" s="67" t="s">
        <v>119</v>
      </c>
      <c r="B6" s="67" t="s">
        <v>120</v>
      </c>
      <c r="C6" s="67" t="s">
        <v>121</v>
      </c>
      <c r="D6" s="68">
        <v>231411.65</v>
      </c>
      <c r="E6" s="68">
        <v>1221061.97</v>
      </c>
      <c r="F6" s="68">
        <v>98803.68</v>
      </c>
      <c r="G6" s="68">
        <v>890846.64</v>
      </c>
      <c r="H6" s="31" t="s">
        <v>124</v>
      </c>
      <c r="I6" s="67" t="s">
        <v>125</v>
      </c>
    </row>
    <row r="7" spans="1:9">
      <c r="A7" s="67" t="s">
        <v>119</v>
      </c>
      <c r="B7" s="67" t="s">
        <v>120</v>
      </c>
      <c r="C7" s="67" t="s">
        <v>121</v>
      </c>
      <c r="D7" s="68">
        <v>11131.65</v>
      </c>
      <c r="E7" s="68">
        <v>16726.419999999998</v>
      </c>
      <c r="F7" s="68">
        <v>1712.64</v>
      </c>
      <c r="G7" s="68">
        <v>3882.13</v>
      </c>
      <c r="H7" s="31" t="s">
        <v>126</v>
      </c>
      <c r="I7" s="67" t="s">
        <v>127</v>
      </c>
    </row>
    <row r="8" spans="1:9">
      <c r="A8" s="67" t="s">
        <v>119</v>
      </c>
      <c r="B8" s="67" t="s">
        <v>120</v>
      </c>
      <c r="C8" s="67" t="s">
        <v>121</v>
      </c>
      <c r="D8" s="68">
        <v>3217.28</v>
      </c>
      <c r="E8" s="68">
        <v>45416.76</v>
      </c>
      <c r="F8" s="68">
        <v>1759.14</v>
      </c>
      <c r="G8" s="68">
        <v>40440.339999999997</v>
      </c>
      <c r="H8" s="69" t="s">
        <v>129</v>
      </c>
      <c r="I8" s="67" t="s">
        <v>130</v>
      </c>
    </row>
  </sheetData>
  <mergeCells count="1">
    <mergeCell ref="A1:I3"/>
  </mergeCells>
  <pageMargins left="0.511811024" right="0.511811024" top="0.78740157499999996" bottom="0.78740157499999996" header="0.31496062000000002" footer="0.31496062000000002"/>
  <drawing r:id="rId1"/>
  <legacyDrawing r:id="rId2"/>
  <controls>
    <control shapeId="4097" r:id="rId3" name="Image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H100"/>
  <sheetViews>
    <sheetView topLeftCell="F31" workbookViewId="0">
      <selection activeCell="A54" sqref="A54:E62"/>
    </sheetView>
  </sheetViews>
  <sheetFormatPr defaultRowHeight="15"/>
  <cols>
    <col min="1" max="1" width="10.5703125" hidden="1" customWidth="1"/>
    <col min="2" max="3" width="0" hidden="1" customWidth="1"/>
    <col min="4" max="4" width="14" hidden="1" customWidth="1"/>
    <col min="5" max="5" width="13.140625" hidden="1" customWidth="1"/>
    <col min="6" max="6" width="14.85546875" customWidth="1"/>
    <col min="7" max="7" width="9.85546875" bestFit="1" customWidth="1"/>
  </cols>
  <sheetData>
    <row r="1" spans="1:5">
      <c r="A1" s="9" t="s">
        <v>7</v>
      </c>
      <c r="B1" s="10" t="s">
        <v>8</v>
      </c>
      <c r="C1" s="10" t="s">
        <v>9</v>
      </c>
      <c r="D1" s="10" t="s">
        <v>10</v>
      </c>
      <c r="E1" s="12" t="s">
        <v>11</v>
      </c>
    </row>
    <row r="2" spans="1:5">
      <c r="A2" s="13">
        <v>40918</v>
      </c>
      <c r="B2" s="14" t="s">
        <v>12</v>
      </c>
      <c r="C2" s="15" t="s">
        <v>13</v>
      </c>
      <c r="D2" s="11" t="s">
        <v>14</v>
      </c>
      <c r="E2" s="16">
        <v>76278.2</v>
      </c>
    </row>
    <row r="3" spans="1:5">
      <c r="A3" s="13">
        <v>40918</v>
      </c>
      <c r="B3" s="14" t="s">
        <v>15</v>
      </c>
      <c r="C3" s="18" t="s">
        <v>16</v>
      </c>
      <c r="D3" s="18" t="s">
        <v>14</v>
      </c>
      <c r="E3" s="19">
        <v>63396.35</v>
      </c>
    </row>
    <row r="4" spans="1:5">
      <c r="A4" s="20">
        <v>40919</v>
      </c>
      <c r="B4" s="17" t="s">
        <v>17</v>
      </c>
      <c r="C4" s="18" t="s">
        <v>16</v>
      </c>
      <c r="D4" s="18" t="s">
        <v>14</v>
      </c>
      <c r="E4" s="19">
        <v>45.83</v>
      </c>
    </row>
    <row r="5" spans="1:5">
      <c r="A5" s="13">
        <v>40919</v>
      </c>
      <c r="B5" s="14" t="s">
        <v>18</v>
      </c>
      <c r="C5" s="11" t="s">
        <v>19</v>
      </c>
      <c r="D5" s="18" t="s">
        <v>14</v>
      </c>
      <c r="E5" s="21">
        <v>915.04</v>
      </c>
    </row>
    <row r="6" spans="1:5">
      <c r="A6" s="13">
        <v>40919</v>
      </c>
      <c r="B6" s="14" t="s">
        <v>20</v>
      </c>
      <c r="C6" s="18" t="s">
        <v>21</v>
      </c>
      <c r="D6" s="18" t="s">
        <v>22</v>
      </c>
      <c r="E6" s="19">
        <v>9447.08</v>
      </c>
    </row>
    <row r="7" spans="1:5">
      <c r="A7" s="13">
        <v>40919</v>
      </c>
      <c r="B7" s="14" t="s">
        <v>23</v>
      </c>
      <c r="C7" s="18" t="s">
        <v>24</v>
      </c>
      <c r="D7" s="18" t="s">
        <v>22</v>
      </c>
      <c r="E7" s="19">
        <v>20886.12</v>
      </c>
    </row>
    <row r="8" spans="1:5">
      <c r="A8" s="13">
        <v>40919</v>
      </c>
      <c r="B8" s="14" t="s">
        <v>25</v>
      </c>
      <c r="C8" s="18" t="s">
        <v>26</v>
      </c>
      <c r="D8" s="18" t="s">
        <v>22</v>
      </c>
      <c r="E8" s="19">
        <v>27945.599999999999</v>
      </c>
    </row>
    <row r="9" spans="1:5">
      <c r="A9" s="13">
        <v>40919</v>
      </c>
      <c r="B9" s="14" t="s">
        <v>27</v>
      </c>
      <c r="C9" s="18" t="s">
        <v>28</v>
      </c>
      <c r="D9" s="18" t="s">
        <v>22</v>
      </c>
      <c r="E9" s="19">
        <v>2459.16</v>
      </c>
    </row>
    <row r="11" spans="1:5">
      <c r="A11" s="9" t="s">
        <v>7</v>
      </c>
      <c r="B11" s="10" t="s">
        <v>8</v>
      </c>
      <c r="C11" s="10" t="s">
        <v>9</v>
      </c>
      <c r="D11" s="10" t="s">
        <v>10</v>
      </c>
      <c r="E11" s="12" t="s">
        <v>11</v>
      </c>
    </row>
    <row r="12" spans="1:5">
      <c r="A12" s="20">
        <v>40950</v>
      </c>
      <c r="B12" s="17" t="s">
        <v>29</v>
      </c>
      <c r="C12" s="24" t="s">
        <v>19</v>
      </c>
      <c r="D12" s="18" t="s">
        <v>14</v>
      </c>
      <c r="E12" s="19">
        <v>4822.5600000000004</v>
      </c>
    </row>
    <row r="13" spans="1:5">
      <c r="A13" s="20">
        <v>40950</v>
      </c>
      <c r="B13" s="17" t="s">
        <v>30</v>
      </c>
      <c r="C13" s="24" t="s">
        <v>19</v>
      </c>
      <c r="D13" s="18" t="s">
        <v>14</v>
      </c>
      <c r="E13" s="19">
        <v>57.72</v>
      </c>
    </row>
    <row r="14" spans="1:5">
      <c r="A14" s="20">
        <v>40950</v>
      </c>
      <c r="B14" s="17" t="s">
        <v>31</v>
      </c>
      <c r="C14" s="18" t="s">
        <v>26</v>
      </c>
      <c r="D14" s="18" t="s">
        <v>22</v>
      </c>
      <c r="E14" s="19">
        <v>48143</v>
      </c>
    </row>
    <row r="15" spans="1:5">
      <c r="A15" s="20">
        <v>40950</v>
      </c>
      <c r="B15" s="14" t="s">
        <v>32</v>
      </c>
      <c r="C15" s="18" t="s">
        <v>26</v>
      </c>
      <c r="D15" s="18" t="s">
        <v>22</v>
      </c>
      <c r="E15" s="21">
        <v>112.67</v>
      </c>
    </row>
    <row r="16" spans="1:5">
      <c r="A16" s="20">
        <v>40950</v>
      </c>
      <c r="B16" s="14" t="s">
        <v>33</v>
      </c>
      <c r="C16" s="18" t="s">
        <v>24</v>
      </c>
      <c r="D16" s="18" t="s">
        <v>22</v>
      </c>
      <c r="E16" s="19">
        <v>18531.72</v>
      </c>
    </row>
    <row r="17" spans="1:5">
      <c r="A17" s="20">
        <v>40950</v>
      </c>
      <c r="B17" s="17" t="s">
        <v>34</v>
      </c>
      <c r="C17" s="18" t="s">
        <v>21</v>
      </c>
      <c r="D17" s="18" t="s">
        <v>22</v>
      </c>
      <c r="E17" s="19">
        <v>5646.24</v>
      </c>
    </row>
    <row r="18" spans="1:5">
      <c r="A18" s="20">
        <v>40954</v>
      </c>
      <c r="B18" s="14" t="s">
        <v>35</v>
      </c>
      <c r="C18" s="18" t="s">
        <v>28</v>
      </c>
      <c r="D18" s="18" t="s">
        <v>22</v>
      </c>
      <c r="E18" s="19">
        <v>5870.94</v>
      </c>
    </row>
    <row r="19" spans="1:5">
      <c r="A19" s="20">
        <v>40954</v>
      </c>
      <c r="B19" s="14" t="s">
        <v>36</v>
      </c>
      <c r="C19" s="18" t="s">
        <v>37</v>
      </c>
      <c r="D19" s="18" t="s">
        <v>22</v>
      </c>
      <c r="E19" s="19">
        <v>11837.06</v>
      </c>
    </row>
    <row r="20" spans="1:5">
      <c r="A20" s="20">
        <v>40954</v>
      </c>
      <c r="B20" s="14" t="s">
        <v>38</v>
      </c>
      <c r="C20" s="18" t="s">
        <v>37</v>
      </c>
      <c r="D20" s="18" t="s">
        <v>22</v>
      </c>
      <c r="E20" s="19">
        <v>80000</v>
      </c>
    </row>
    <row r="21" spans="1:5">
      <c r="A21" s="20">
        <v>40954</v>
      </c>
      <c r="B21" s="14" t="s">
        <v>39</v>
      </c>
      <c r="C21" s="18" t="s">
        <v>37</v>
      </c>
      <c r="D21" s="18" t="s">
        <v>22</v>
      </c>
      <c r="E21" s="21">
        <v>600.54999999999995</v>
      </c>
    </row>
    <row r="22" spans="1:5">
      <c r="A22" s="20">
        <v>40954</v>
      </c>
      <c r="B22" s="14" t="s">
        <v>40</v>
      </c>
      <c r="C22" s="18" t="s">
        <v>16</v>
      </c>
      <c r="D22" s="18" t="s">
        <v>22</v>
      </c>
      <c r="E22" s="19">
        <v>2240.87</v>
      </c>
    </row>
    <row r="23" spans="1:5">
      <c r="A23" s="20">
        <v>40954</v>
      </c>
      <c r="B23" s="14" t="s">
        <v>41</v>
      </c>
      <c r="C23" s="18" t="s">
        <v>16</v>
      </c>
      <c r="D23" s="18" t="s">
        <v>22</v>
      </c>
      <c r="E23" s="19">
        <v>23557.35</v>
      </c>
    </row>
    <row r="25" spans="1:5">
      <c r="A25" s="9" t="s">
        <v>7</v>
      </c>
      <c r="B25" s="10" t="s">
        <v>8</v>
      </c>
      <c r="C25" s="10" t="s">
        <v>9</v>
      </c>
      <c r="D25" s="10" t="s">
        <v>10</v>
      </c>
      <c r="E25" s="22" t="s">
        <v>11</v>
      </c>
    </row>
    <row r="26" spans="1:5">
      <c r="A26" s="13">
        <v>40976</v>
      </c>
      <c r="B26" s="25" t="s">
        <v>42</v>
      </c>
      <c r="C26" s="18" t="s">
        <v>16</v>
      </c>
      <c r="D26" s="25" t="s">
        <v>43</v>
      </c>
      <c r="E26" s="23">
        <v>8837.7900000000009</v>
      </c>
    </row>
    <row r="27" spans="1:5">
      <c r="A27" s="13">
        <v>40976</v>
      </c>
      <c r="B27" s="25" t="s">
        <v>44</v>
      </c>
      <c r="C27" s="25" t="s">
        <v>19</v>
      </c>
      <c r="D27" s="25" t="s">
        <v>43</v>
      </c>
      <c r="E27" s="23">
        <v>462.67</v>
      </c>
    </row>
    <row r="28" spans="1:5">
      <c r="A28" s="13">
        <v>40976</v>
      </c>
      <c r="B28" s="25" t="s">
        <v>45</v>
      </c>
      <c r="C28" s="18" t="s">
        <v>21</v>
      </c>
      <c r="D28" s="25" t="s">
        <v>43</v>
      </c>
      <c r="E28" s="23">
        <v>3069.32</v>
      </c>
    </row>
    <row r="29" spans="1:5">
      <c r="A29" s="13">
        <v>40976</v>
      </c>
      <c r="B29" s="25" t="s">
        <v>46</v>
      </c>
      <c r="C29" s="18" t="s">
        <v>24</v>
      </c>
      <c r="D29" s="25" t="s">
        <v>43</v>
      </c>
      <c r="E29" s="23">
        <v>8200.14</v>
      </c>
    </row>
    <row r="30" spans="1:5">
      <c r="A30" s="13">
        <v>40976</v>
      </c>
      <c r="B30" s="25" t="s">
        <v>47</v>
      </c>
      <c r="C30" s="18" t="s">
        <v>26</v>
      </c>
      <c r="D30" s="25" t="s">
        <v>43</v>
      </c>
      <c r="E30" s="26">
        <v>7445.99</v>
      </c>
    </row>
    <row r="31" spans="1:5">
      <c r="A31" s="13">
        <v>40977</v>
      </c>
      <c r="B31" s="25" t="s">
        <v>48</v>
      </c>
      <c r="C31" s="18" t="s">
        <v>16</v>
      </c>
      <c r="D31" s="25" t="s">
        <v>49</v>
      </c>
      <c r="E31" s="23">
        <v>28468.55</v>
      </c>
    </row>
    <row r="32" spans="1:5">
      <c r="A32" s="13">
        <v>40977</v>
      </c>
      <c r="B32" s="25" t="s">
        <v>50</v>
      </c>
      <c r="C32" s="18" t="s">
        <v>21</v>
      </c>
      <c r="D32" s="25" t="s">
        <v>49</v>
      </c>
      <c r="E32" s="23">
        <v>12216.64</v>
      </c>
    </row>
    <row r="33" spans="1:5">
      <c r="A33" s="13">
        <v>40977</v>
      </c>
      <c r="B33" s="25" t="s">
        <v>51</v>
      </c>
      <c r="C33" s="18" t="s">
        <v>24</v>
      </c>
      <c r="D33" s="25" t="s">
        <v>49</v>
      </c>
      <c r="E33" s="23">
        <v>12858.12</v>
      </c>
    </row>
    <row r="34" spans="1:5">
      <c r="A34" s="13">
        <v>40981</v>
      </c>
      <c r="B34" s="25" t="s">
        <v>52</v>
      </c>
      <c r="C34" s="18" t="s">
        <v>28</v>
      </c>
      <c r="D34" s="18" t="s">
        <v>22</v>
      </c>
      <c r="E34" s="23">
        <v>5992.94</v>
      </c>
    </row>
    <row r="35" spans="1:5">
      <c r="A35" s="13">
        <v>40981</v>
      </c>
      <c r="B35" s="25" t="s">
        <v>53</v>
      </c>
      <c r="C35" s="18" t="s">
        <v>28</v>
      </c>
      <c r="D35" s="18" t="s">
        <v>22</v>
      </c>
      <c r="E35" s="23">
        <v>1866.22</v>
      </c>
    </row>
    <row r="36" spans="1:5">
      <c r="A36" s="13">
        <v>40981</v>
      </c>
      <c r="B36" s="25" t="s">
        <v>54</v>
      </c>
      <c r="C36" s="25" t="s">
        <v>19</v>
      </c>
      <c r="D36" s="18" t="s">
        <v>14</v>
      </c>
      <c r="E36" s="23">
        <v>3579.32</v>
      </c>
    </row>
    <row r="37" spans="1:5">
      <c r="A37" s="13">
        <v>40981</v>
      </c>
      <c r="B37" s="25" t="s">
        <v>55</v>
      </c>
      <c r="C37" s="25" t="s">
        <v>19</v>
      </c>
      <c r="D37" s="18" t="s">
        <v>14</v>
      </c>
      <c r="E37" s="23">
        <v>127.52</v>
      </c>
    </row>
    <row r="38" spans="1:5">
      <c r="A38" s="13">
        <v>40981</v>
      </c>
      <c r="B38" s="25" t="s">
        <v>56</v>
      </c>
      <c r="C38" s="18" t="s">
        <v>37</v>
      </c>
      <c r="D38" s="25" t="s">
        <v>43</v>
      </c>
      <c r="E38" s="23">
        <v>17593.7</v>
      </c>
    </row>
    <row r="39" spans="1:5">
      <c r="A39" s="13">
        <v>40981</v>
      </c>
      <c r="B39" s="25" t="s">
        <v>57</v>
      </c>
      <c r="C39" s="18" t="s">
        <v>37</v>
      </c>
      <c r="D39" s="18" t="s">
        <v>22</v>
      </c>
      <c r="E39" s="23">
        <v>75015.78</v>
      </c>
    </row>
    <row r="40" spans="1:5">
      <c r="A40" s="13">
        <v>40981</v>
      </c>
      <c r="B40" s="25" t="s">
        <v>58</v>
      </c>
      <c r="C40" s="18" t="s">
        <v>26</v>
      </c>
      <c r="D40" s="18" t="s">
        <v>22</v>
      </c>
      <c r="E40" s="23">
        <v>37011.18</v>
      </c>
    </row>
    <row r="41" spans="1:5">
      <c r="A41" s="13">
        <v>40981</v>
      </c>
      <c r="B41" s="25" t="s">
        <v>59</v>
      </c>
      <c r="C41" s="18" t="s">
        <v>26</v>
      </c>
      <c r="D41" s="18" t="s">
        <v>22</v>
      </c>
      <c r="E41" s="23">
        <v>3966.76</v>
      </c>
    </row>
    <row r="43" spans="1:5">
      <c r="A43" s="9" t="s">
        <v>7</v>
      </c>
      <c r="B43" s="10" t="s">
        <v>8</v>
      </c>
      <c r="C43" s="10" t="s">
        <v>9</v>
      </c>
      <c r="D43" s="10" t="s">
        <v>10</v>
      </c>
      <c r="E43" s="22" t="s">
        <v>11</v>
      </c>
    </row>
    <row r="44" spans="1:5">
      <c r="A44" s="13">
        <v>41008</v>
      </c>
      <c r="B44" s="29" t="s">
        <v>60</v>
      </c>
      <c r="C44" s="18" t="s">
        <v>37</v>
      </c>
      <c r="D44" s="18" t="s">
        <v>22</v>
      </c>
      <c r="E44" s="27">
        <v>72571.83</v>
      </c>
    </row>
    <row r="45" spans="1:5">
      <c r="A45" s="13">
        <v>41008</v>
      </c>
      <c r="B45" s="29" t="s">
        <v>61</v>
      </c>
      <c r="C45" s="18" t="s">
        <v>16</v>
      </c>
      <c r="D45" s="29" t="s">
        <v>49</v>
      </c>
      <c r="E45" s="23">
        <v>29888.21</v>
      </c>
    </row>
    <row r="46" spans="1:5">
      <c r="A46" s="13">
        <v>41008</v>
      </c>
      <c r="B46" s="29" t="s">
        <v>62</v>
      </c>
      <c r="C46" s="18" t="s">
        <v>19</v>
      </c>
      <c r="D46" s="18" t="s">
        <v>14</v>
      </c>
      <c r="E46" s="23">
        <v>1672.64</v>
      </c>
    </row>
    <row r="47" spans="1:5">
      <c r="A47" s="13">
        <v>41008</v>
      </c>
      <c r="B47" s="29" t="s">
        <v>63</v>
      </c>
      <c r="C47" s="18" t="s">
        <v>19</v>
      </c>
      <c r="D47" s="18" t="s">
        <v>14</v>
      </c>
      <c r="E47" s="28">
        <v>1927</v>
      </c>
    </row>
    <row r="48" spans="1:5">
      <c r="A48" s="13">
        <v>41008</v>
      </c>
      <c r="B48" s="29" t="s">
        <v>64</v>
      </c>
      <c r="C48" s="18" t="s">
        <v>21</v>
      </c>
      <c r="D48" s="29" t="s">
        <v>49</v>
      </c>
      <c r="E48" s="23">
        <v>10453.32</v>
      </c>
    </row>
    <row r="49" spans="1:7">
      <c r="A49" s="13">
        <v>41008</v>
      </c>
      <c r="B49" s="29" t="s">
        <v>65</v>
      </c>
      <c r="C49" s="18" t="s">
        <v>24</v>
      </c>
      <c r="D49" s="29" t="s">
        <v>49</v>
      </c>
      <c r="E49" s="23">
        <v>14393.16</v>
      </c>
    </row>
    <row r="50" spans="1:7">
      <c r="A50" s="13">
        <v>41008</v>
      </c>
      <c r="B50" s="29" t="s">
        <v>66</v>
      </c>
      <c r="C50" s="18" t="s">
        <v>28</v>
      </c>
      <c r="D50" s="29" t="s">
        <v>49</v>
      </c>
      <c r="E50" s="23">
        <v>4841.6400000000003</v>
      </c>
    </row>
    <row r="51" spans="1:7">
      <c r="A51" s="13">
        <v>40948</v>
      </c>
      <c r="B51" s="29" t="s">
        <v>67</v>
      </c>
      <c r="C51" s="18" t="s">
        <v>26</v>
      </c>
      <c r="D51" s="29" t="s">
        <v>49</v>
      </c>
      <c r="E51" s="23">
        <v>53958.53</v>
      </c>
    </row>
    <row r="52" spans="1:7">
      <c r="A52" s="13">
        <v>41018</v>
      </c>
      <c r="B52" s="29" t="s">
        <v>68</v>
      </c>
      <c r="C52" s="18" t="s">
        <v>69</v>
      </c>
      <c r="D52" s="18" t="s">
        <v>70</v>
      </c>
      <c r="E52" s="23">
        <v>1859.76</v>
      </c>
    </row>
    <row r="54" spans="1:7">
      <c r="A54" s="9" t="s">
        <v>7</v>
      </c>
      <c r="B54" s="10" t="s">
        <v>8</v>
      </c>
      <c r="C54" s="10" t="s">
        <v>9</v>
      </c>
      <c r="D54" s="10" t="s">
        <v>10</v>
      </c>
      <c r="E54" s="22" t="s">
        <v>11</v>
      </c>
    </row>
    <row r="55" spans="1:7">
      <c r="A55" s="20">
        <v>41040</v>
      </c>
      <c r="B55" s="18" t="s">
        <v>71</v>
      </c>
      <c r="C55" s="18" t="s">
        <v>16</v>
      </c>
      <c r="D55" s="18" t="s">
        <v>49</v>
      </c>
      <c r="E55" s="30">
        <v>28572.560000000001</v>
      </c>
    </row>
    <row r="56" spans="1:7">
      <c r="A56" s="20">
        <v>41040</v>
      </c>
      <c r="B56" s="18" t="s">
        <v>72</v>
      </c>
      <c r="C56" s="18" t="s">
        <v>19</v>
      </c>
      <c r="D56" s="18" t="s">
        <v>14</v>
      </c>
      <c r="E56" s="30">
        <v>3105</v>
      </c>
    </row>
    <row r="57" spans="1:7">
      <c r="A57" s="20">
        <v>41040</v>
      </c>
      <c r="B57" s="18" t="s">
        <v>73</v>
      </c>
      <c r="C57" s="18" t="s">
        <v>21</v>
      </c>
      <c r="D57" s="18" t="s">
        <v>49</v>
      </c>
      <c r="E57" s="30">
        <v>7416.36</v>
      </c>
    </row>
    <row r="58" spans="1:7">
      <c r="A58" s="20">
        <v>41040</v>
      </c>
      <c r="B58" s="18" t="s">
        <v>74</v>
      </c>
      <c r="C58" s="18" t="s">
        <v>26</v>
      </c>
      <c r="D58" s="18" t="s">
        <v>49</v>
      </c>
      <c r="E58" s="30">
        <v>23544.97</v>
      </c>
    </row>
    <row r="59" spans="1:7">
      <c r="A59" s="20">
        <v>41045</v>
      </c>
      <c r="B59" s="18" t="s">
        <v>75</v>
      </c>
      <c r="C59" s="18" t="s">
        <v>37</v>
      </c>
      <c r="D59" s="18" t="s">
        <v>22</v>
      </c>
      <c r="E59" s="30">
        <v>46892.76</v>
      </c>
    </row>
    <row r="60" spans="1:7">
      <c r="A60" s="20">
        <v>41045</v>
      </c>
      <c r="B60" s="18" t="s">
        <v>76</v>
      </c>
      <c r="C60" s="18" t="s">
        <v>24</v>
      </c>
      <c r="D60" s="18" t="s">
        <v>49</v>
      </c>
      <c r="E60" s="30">
        <v>15463.32</v>
      </c>
    </row>
    <row r="61" spans="1:7">
      <c r="A61" s="20">
        <v>41045</v>
      </c>
      <c r="B61" s="18" t="s">
        <v>77</v>
      </c>
      <c r="C61" s="18" t="s">
        <v>28</v>
      </c>
      <c r="D61" s="18" t="s">
        <v>22</v>
      </c>
      <c r="E61" s="30">
        <v>3733.56</v>
      </c>
    </row>
    <row r="62" spans="1:7">
      <c r="A62" s="20">
        <v>41047</v>
      </c>
      <c r="B62" s="18" t="s">
        <v>78</v>
      </c>
      <c r="C62" s="18" t="s">
        <v>69</v>
      </c>
      <c r="D62" s="18" t="s">
        <v>22</v>
      </c>
      <c r="E62" s="30">
        <v>30977.39</v>
      </c>
    </row>
    <row r="63" spans="1:7" ht="15.75" thickBot="1"/>
    <row r="64" spans="1:7" ht="15.75" thickBot="1">
      <c r="A64" s="37" t="s">
        <v>89</v>
      </c>
      <c r="B64" s="37" t="s">
        <v>90</v>
      </c>
      <c r="C64" s="37" t="s">
        <v>91</v>
      </c>
      <c r="D64" s="37" t="s">
        <v>92</v>
      </c>
      <c r="E64" s="46" t="s">
        <v>93</v>
      </c>
      <c r="F64" s="37" t="s">
        <v>94</v>
      </c>
      <c r="G64" s="37" t="s">
        <v>95</v>
      </c>
    </row>
    <row r="65" spans="1:8" ht="15.75" thickBot="1">
      <c r="A65" s="47" t="s">
        <v>13</v>
      </c>
      <c r="B65" s="48" t="s">
        <v>96</v>
      </c>
      <c r="C65" s="49">
        <v>71601</v>
      </c>
      <c r="D65" s="50">
        <v>92437.61</v>
      </c>
      <c r="E65" s="50">
        <v>90352.15</v>
      </c>
      <c r="F65" s="50">
        <v>1860.41</v>
      </c>
      <c r="G65" s="50">
        <v>225.05</v>
      </c>
    </row>
    <row r="66" spans="1:8" ht="15.75" thickBot="1">
      <c r="A66" s="47" t="s">
        <v>97</v>
      </c>
      <c r="B66" s="48" t="s">
        <v>96</v>
      </c>
      <c r="C66" s="49">
        <v>71601</v>
      </c>
      <c r="D66" s="50">
        <v>25798.22</v>
      </c>
      <c r="E66" s="50">
        <v>24743.66</v>
      </c>
      <c r="F66" s="50">
        <v>1033.56</v>
      </c>
      <c r="G66" s="50">
        <v>21</v>
      </c>
    </row>
    <row r="67" spans="1:8" ht="15.75" thickBot="1">
      <c r="A67" s="51" t="s">
        <v>98</v>
      </c>
      <c r="B67" s="52" t="s">
        <v>96</v>
      </c>
      <c r="C67" s="53">
        <v>71601</v>
      </c>
      <c r="D67" s="54">
        <v>4880.28</v>
      </c>
      <c r="E67" s="54">
        <v>4356.72</v>
      </c>
      <c r="F67" s="54">
        <v>375.84</v>
      </c>
      <c r="G67" s="55" t="s">
        <v>99</v>
      </c>
      <c r="H67" s="31" t="s">
        <v>108</v>
      </c>
    </row>
    <row r="68" spans="1:8" ht="15.75" thickBot="1">
      <c r="A68" s="47" t="s">
        <v>100</v>
      </c>
      <c r="B68" s="48" t="s">
        <v>96</v>
      </c>
      <c r="C68" s="49">
        <v>71601</v>
      </c>
      <c r="D68" s="50">
        <v>5646.24</v>
      </c>
      <c r="E68" s="50">
        <v>5646.24</v>
      </c>
      <c r="F68" s="56" t="s">
        <v>101</v>
      </c>
      <c r="G68" s="56" t="s">
        <v>101</v>
      </c>
    </row>
    <row r="69" spans="1:8" ht="15.75" thickBot="1">
      <c r="A69" s="47" t="s">
        <v>102</v>
      </c>
      <c r="B69" s="48" t="s">
        <v>96</v>
      </c>
      <c r="C69" s="49">
        <v>71601</v>
      </c>
      <c r="D69" s="50">
        <v>18531.72</v>
      </c>
      <c r="E69" s="50">
        <v>18343.8</v>
      </c>
      <c r="F69" s="50">
        <v>187.92</v>
      </c>
      <c r="G69" s="56" t="s">
        <v>101</v>
      </c>
    </row>
    <row r="70" spans="1:8" ht="15.75" thickBot="1">
      <c r="A70" s="47" t="s">
        <v>103</v>
      </c>
      <c r="B70" s="48" t="s">
        <v>96</v>
      </c>
      <c r="C70" s="49">
        <v>71601</v>
      </c>
      <c r="D70" s="50">
        <v>48255.67</v>
      </c>
      <c r="E70" s="50">
        <v>45707.11</v>
      </c>
      <c r="F70" s="50">
        <v>2291.7600000000002</v>
      </c>
      <c r="G70" s="56" t="s">
        <v>104</v>
      </c>
      <c r="H70" s="31" t="s">
        <v>108</v>
      </c>
    </row>
    <row r="71" spans="1:8" ht="15.75" thickBot="1">
      <c r="A71" s="47" t="s">
        <v>105</v>
      </c>
      <c r="B71" s="48" t="s">
        <v>96</v>
      </c>
      <c r="C71" s="49">
        <v>71601</v>
      </c>
      <c r="D71" s="50">
        <v>5870.94</v>
      </c>
      <c r="E71" s="50">
        <v>5636.3</v>
      </c>
      <c r="F71" s="50">
        <v>224.64</v>
      </c>
      <c r="G71" s="50">
        <v>10</v>
      </c>
    </row>
    <row r="72" spans="1:8" ht="15.75" thickBot="1"/>
    <row r="73" spans="1:8" ht="15.75" thickBot="1">
      <c r="A73" s="37" t="s">
        <v>89</v>
      </c>
      <c r="B73" s="38" t="s">
        <v>90</v>
      </c>
      <c r="C73" s="38" t="s">
        <v>91</v>
      </c>
      <c r="D73" s="38" t="s">
        <v>92</v>
      </c>
      <c r="E73" s="39" t="s">
        <v>93</v>
      </c>
      <c r="F73" s="38" t="s">
        <v>94</v>
      </c>
      <c r="G73" s="38" t="s">
        <v>95</v>
      </c>
    </row>
    <row r="74" spans="1:8" ht="15.75" thickBot="1">
      <c r="A74" s="40" t="s">
        <v>13</v>
      </c>
      <c r="B74" s="41" t="s">
        <v>96</v>
      </c>
      <c r="C74" s="42">
        <v>71601</v>
      </c>
      <c r="D74" s="43">
        <v>75015.78</v>
      </c>
      <c r="E74" s="43">
        <v>72905.899999999994</v>
      </c>
      <c r="F74" s="43">
        <v>1653.7</v>
      </c>
      <c r="G74" s="43">
        <v>456.19</v>
      </c>
    </row>
    <row r="75" spans="1:8" ht="15.75" thickBot="1">
      <c r="A75" s="40" t="s">
        <v>97</v>
      </c>
      <c r="B75" s="41" t="s">
        <v>96</v>
      </c>
      <c r="C75" s="42">
        <v>71601</v>
      </c>
      <c r="D75" s="43">
        <v>28468.55</v>
      </c>
      <c r="E75" s="43">
        <v>27755.439999999999</v>
      </c>
      <c r="F75" s="43">
        <v>660.53</v>
      </c>
      <c r="G75" s="44" t="s">
        <v>106</v>
      </c>
    </row>
    <row r="76" spans="1:8" ht="15.75" thickBot="1">
      <c r="A76" s="40" t="s">
        <v>98</v>
      </c>
      <c r="B76" s="41" t="s">
        <v>96</v>
      </c>
      <c r="C76" s="42">
        <v>71601</v>
      </c>
      <c r="D76" s="43">
        <v>3706.84</v>
      </c>
      <c r="E76" s="43">
        <v>2811.24</v>
      </c>
      <c r="F76" s="43">
        <v>751.68</v>
      </c>
      <c r="G76" s="43">
        <v>143.91999999999999</v>
      </c>
    </row>
    <row r="77" spans="1:8" ht="15.75" thickBot="1">
      <c r="A77" s="40" t="s">
        <v>100</v>
      </c>
      <c r="B77" s="41" t="s">
        <v>96</v>
      </c>
      <c r="C77" s="42">
        <v>71601</v>
      </c>
      <c r="D77" s="43">
        <v>12216.64</v>
      </c>
      <c r="E77" s="43">
        <v>11975.8</v>
      </c>
      <c r="F77" s="43">
        <v>224.64</v>
      </c>
      <c r="G77" s="44">
        <v>16.2</v>
      </c>
    </row>
    <row r="78" spans="1:8" ht="15.75" thickBot="1">
      <c r="A78" s="40" t="s">
        <v>102</v>
      </c>
      <c r="B78" s="41" t="s">
        <v>96</v>
      </c>
      <c r="C78" s="42">
        <v>71601</v>
      </c>
      <c r="D78" s="43">
        <v>12858.12</v>
      </c>
      <c r="E78" s="43">
        <v>11688.48</v>
      </c>
      <c r="F78" s="45">
        <v>1164.24</v>
      </c>
      <c r="G78" s="43">
        <v>5.4</v>
      </c>
    </row>
    <row r="79" spans="1:8" ht="15.75" thickBot="1">
      <c r="A79" s="40" t="s">
        <v>103</v>
      </c>
      <c r="B79" s="41" t="s">
        <v>96</v>
      </c>
      <c r="C79" s="42">
        <v>71601</v>
      </c>
      <c r="D79" s="43">
        <v>40977.94</v>
      </c>
      <c r="E79" s="43">
        <v>34372.94</v>
      </c>
      <c r="F79" s="43">
        <v>6605</v>
      </c>
      <c r="G79" s="44" t="s">
        <v>101</v>
      </c>
    </row>
    <row r="80" spans="1:8" ht="15.75" thickBot="1">
      <c r="A80" s="40" t="s">
        <v>105</v>
      </c>
      <c r="B80" s="41" t="s">
        <v>96</v>
      </c>
      <c r="C80" s="42">
        <v>71601</v>
      </c>
      <c r="D80" s="43">
        <v>7859.16</v>
      </c>
      <c r="E80" s="43">
        <v>7671.24</v>
      </c>
      <c r="F80" s="43">
        <v>187.92</v>
      </c>
      <c r="G80" s="44" t="s">
        <v>101</v>
      </c>
    </row>
    <row r="81" spans="1:7" ht="15.75" thickBot="1"/>
    <row r="82" spans="1:7" ht="15.75" thickBot="1">
      <c r="A82" s="37" t="s">
        <v>89</v>
      </c>
      <c r="B82" s="38" t="s">
        <v>90</v>
      </c>
      <c r="C82" s="38" t="s">
        <v>91</v>
      </c>
      <c r="D82" s="38" t="s">
        <v>92</v>
      </c>
      <c r="E82" s="39" t="s">
        <v>93</v>
      </c>
      <c r="F82" s="38" t="s">
        <v>94</v>
      </c>
      <c r="G82" s="38" t="s">
        <v>95</v>
      </c>
    </row>
    <row r="83" spans="1:7" ht="15.75" thickBot="1">
      <c r="A83" s="40" t="s">
        <v>13</v>
      </c>
      <c r="B83" s="41" t="s">
        <v>96</v>
      </c>
      <c r="C83" s="42">
        <v>71601</v>
      </c>
      <c r="D83" s="57">
        <v>72571.83</v>
      </c>
      <c r="E83" s="57">
        <v>70717.13</v>
      </c>
      <c r="F83" s="57">
        <v>1446.98</v>
      </c>
      <c r="G83" s="57">
        <v>407.72</v>
      </c>
    </row>
    <row r="84" spans="1:7" ht="15.75" thickBot="1">
      <c r="A84" s="40" t="s">
        <v>97</v>
      </c>
      <c r="B84" s="41" t="s">
        <v>96</v>
      </c>
      <c r="C84" s="42">
        <v>71601</v>
      </c>
      <c r="D84" s="57">
        <v>29888.2</v>
      </c>
      <c r="E84" s="57">
        <v>28074.82</v>
      </c>
      <c r="F84" s="57">
        <v>1653.7</v>
      </c>
      <c r="G84" s="57">
        <v>159.69</v>
      </c>
    </row>
    <row r="85" spans="1:7" ht="15.75" thickBot="1">
      <c r="A85" s="40" t="s">
        <v>98</v>
      </c>
      <c r="B85" s="41" t="s">
        <v>96</v>
      </c>
      <c r="C85" s="42">
        <v>71601</v>
      </c>
      <c r="D85" s="57">
        <v>3599.64</v>
      </c>
      <c r="E85" s="57">
        <v>3599.64</v>
      </c>
      <c r="F85" s="58" t="s">
        <v>101</v>
      </c>
      <c r="G85" s="58" t="s">
        <v>101</v>
      </c>
    </row>
    <row r="86" spans="1:7" ht="15.75" thickBot="1">
      <c r="A86" s="40" t="s">
        <v>100</v>
      </c>
      <c r="B86" s="41" t="s">
        <v>96</v>
      </c>
      <c r="C86" s="42">
        <v>71601</v>
      </c>
      <c r="D86" s="57">
        <v>10453.32</v>
      </c>
      <c r="E86" s="57">
        <v>10260</v>
      </c>
      <c r="F86" s="57">
        <v>187.92</v>
      </c>
      <c r="G86" s="57">
        <v>5.4</v>
      </c>
    </row>
    <row r="87" spans="1:7" ht="15.75" thickBot="1">
      <c r="A87" s="40" t="s">
        <v>102</v>
      </c>
      <c r="B87" s="41" t="s">
        <v>96</v>
      </c>
      <c r="C87" s="42">
        <v>71601</v>
      </c>
      <c r="D87" s="57">
        <v>14393.16</v>
      </c>
      <c r="E87" s="57">
        <v>12424.32</v>
      </c>
      <c r="F87" s="57">
        <v>1952.64</v>
      </c>
      <c r="G87" s="57">
        <v>16.2</v>
      </c>
    </row>
    <row r="88" spans="1:7" ht="15.75" thickBot="1">
      <c r="A88" s="40" t="s">
        <v>103</v>
      </c>
      <c r="B88" s="41" t="s">
        <v>96</v>
      </c>
      <c r="C88" s="42">
        <v>71601</v>
      </c>
      <c r="D88" s="57">
        <v>53958.53</v>
      </c>
      <c r="E88" s="57">
        <v>50686.78</v>
      </c>
      <c r="F88" s="57">
        <v>3080.16</v>
      </c>
      <c r="G88" s="57">
        <v>191.59</v>
      </c>
    </row>
    <row r="89" spans="1:7" ht="15.75" thickBot="1">
      <c r="A89" s="40" t="s">
        <v>105</v>
      </c>
      <c r="B89" s="41" t="s">
        <v>96</v>
      </c>
      <c r="C89" s="42">
        <v>71601</v>
      </c>
      <c r="D89" s="57">
        <v>4841.6400000000003</v>
      </c>
      <c r="E89" s="57">
        <v>4465.8</v>
      </c>
      <c r="F89" s="57">
        <v>375.84</v>
      </c>
      <c r="G89" s="58" t="s">
        <v>101</v>
      </c>
    </row>
    <row r="90" spans="1:7" ht="15.75" thickBot="1">
      <c r="A90" s="40" t="s">
        <v>107</v>
      </c>
      <c r="B90" s="41" t="s">
        <v>96</v>
      </c>
      <c r="C90" s="42">
        <v>71601</v>
      </c>
      <c r="D90" s="57">
        <v>1859.76</v>
      </c>
      <c r="E90" s="57">
        <v>1671.84</v>
      </c>
      <c r="F90" s="57">
        <v>187.92</v>
      </c>
      <c r="G90" s="58" t="s">
        <v>101</v>
      </c>
    </row>
    <row r="91" spans="1:7" ht="15.75" thickBot="1"/>
    <row r="92" spans="1:7" ht="15.75" thickBot="1">
      <c r="A92" s="37" t="s">
        <v>89</v>
      </c>
      <c r="B92" s="38" t="s">
        <v>90</v>
      </c>
      <c r="C92" s="38" t="s">
        <v>91</v>
      </c>
      <c r="D92" s="38" t="s">
        <v>92</v>
      </c>
      <c r="E92" s="39" t="s">
        <v>93</v>
      </c>
      <c r="F92" s="38" t="s">
        <v>94</v>
      </c>
      <c r="G92" s="38" t="s">
        <v>95</v>
      </c>
    </row>
    <row r="93" spans="1:7" ht="15.75" thickBot="1">
      <c r="A93" s="40" t="s">
        <v>13</v>
      </c>
      <c r="B93" s="41" t="s">
        <v>96</v>
      </c>
      <c r="C93" s="42">
        <v>71601</v>
      </c>
      <c r="D93" s="57">
        <v>46892.76</v>
      </c>
      <c r="E93" s="57">
        <v>44820.63</v>
      </c>
      <c r="F93" s="57">
        <v>1636.11</v>
      </c>
      <c r="G93" s="57">
        <v>436.02</v>
      </c>
    </row>
    <row r="94" spans="1:7" ht="15.75" thickBot="1">
      <c r="A94" s="40" t="s">
        <v>97</v>
      </c>
      <c r="B94" s="41" t="s">
        <v>96</v>
      </c>
      <c r="C94" s="42">
        <v>71601</v>
      </c>
      <c r="D94" s="57">
        <v>28572.560000000001</v>
      </c>
      <c r="E94" s="57">
        <v>26722.87</v>
      </c>
      <c r="F94" s="57">
        <v>1653.7</v>
      </c>
      <c r="G94" s="57">
        <v>195.99</v>
      </c>
    </row>
    <row r="95" spans="1:7" ht="15.75" thickBot="1">
      <c r="A95" s="40" t="s">
        <v>98</v>
      </c>
      <c r="B95" s="41" t="s">
        <v>96</v>
      </c>
      <c r="C95" s="42">
        <v>71601</v>
      </c>
      <c r="D95" s="57">
        <v>3105</v>
      </c>
      <c r="E95" s="57">
        <v>2900.88</v>
      </c>
      <c r="F95" s="58">
        <v>187.92</v>
      </c>
      <c r="G95" s="58">
        <v>16.2</v>
      </c>
    </row>
    <row r="96" spans="1:7" ht="15.75" thickBot="1">
      <c r="A96" s="40" t="s">
        <v>100</v>
      </c>
      <c r="B96" s="41" t="s">
        <v>96</v>
      </c>
      <c r="C96" s="42">
        <v>71601</v>
      </c>
      <c r="D96" s="57">
        <v>7416.36</v>
      </c>
      <c r="E96" s="57">
        <v>6627.96</v>
      </c>
      <c r="F96" s="57">
        <v>788.4</v>
      </c>
      <c r="G96" s="58" t="s">
        <v>101</v>
      </c>
    </row>
    <row r="97" spans="1:7" ht="15.75" thickBot="1">
      <c r="A97" s="40" t="s">
        <v>102</v>
      </c>
      <c r="B97" s="41" t="s">
        <v>96</v>
      </c>
      <c r="C97" s="42">
        <v>71601</v>
      </c>
      <c r="D97" s="57">
        <v>15463.32</v>
      </c>
      <c r="E97" s="57">
        <v>14466.6</v>
      </c>
      <c r="F97" s="57">
        <v>976.32</v>
      </c>
      <c r="G97" s="57">
        <v>20.399999999999999</v>
      </c>
    </row>
    <row r="98" spans="1:7" ht="15.75" thickBot="1">
      <c r="A98" s="40" t="s">
        <v>103</v>
      </c>
      <c r="B98" s="41" t="s">
        <v>96</v>
      </c>
      <c r="C98" s="42">
        <v>71601</v>
      </c>
      <c r="D98" s="57">
        <v>23544.97</v>
      </c>
      <c r="E98" s="57">
        <v>22878.5</v>
      </c>
      <c r="F98" s="57">
        <v>660.53</v>
      </c>
      <c r="G98" s="57">
        <v>5.94</v>
      </c>
    </row>
    <row r="99" spans="1:7" ht="15.75" thickBot="1">
      <c r="A99" s="40" t="s">
        <v>105</v>
      </c>
      <c r="B99" s="41" t="s">
        <v>96</v>
      </c>
      <c r="C99" s="42">
        <v>71601</v>
      </c>
      <c r="D99" s="57">
        <v>3733.56</v>
      </c>
      <c r="E99" s="57">
        <v>3169.8</v>
      </c>
      <c r="F99" s="57">
        <v>563.76</v>
      </c>
      <c r="G99" s="58" t="s">
        <v>101</v>
      </c>
    </row>
    <row r="100" spans="1:7" ht="15.75" thickBot="1">
      <c r="A100" s="40" t="s">
        <v>107</v>
      </c>
      <c r="B100" s="41" t="s">
        <v>96</v>
      </c>
      <c r="C100" s="42">
        <v>71601</v>
      </c>
      <c r="D100" s="57">
        <v>30977.38</v>
      </c>
      <c r="E100" s="57">
        <v>28639.66</v>
      </c>
      <c r="F100" s="57">
        <v>2080</v>
      </c>
      <c r="G100" s="58">
        <v>257.73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11</vt:i4>
      </vt:variant>
    </vt:vector>
  </HeadingPairs>
  <TitlesOfParts>
    <vt:vector size="15" baseType="lpstr">
      <vt:lpstr>pagamentos</vt:lpstr>
      <vt:lpstr>medições</vt:lpstr>
      <vt:lpstr>contas</vt:lpstr>
      <vt:lpstr>Plan3</vt:lpstr>
      <vt:lpstr>abr</vt:lpstr>
      <vt:lpstr>abril</vt:lpstr>
      <vt:lpstr>fev</vt:lpstr>
      <vt:lpstr>fevereiro</vt:lpstr>
      <vt:lpstr>jan</vt:lpstr>
      <vt:lpstr>janeiro</vt:lpstr>
      <vt:lpstr>maio</vt:lpstr>
      <vt:lpstr>mar</vt:lpstr>
      <vt:lpstr>março</vt:lpstr>
      <vt:lpstr>mostra_medicao</vt:lpstr>
      <vt:lpstr>mostra_pagamento</vt:lpstr>
    </vt:vector>
  </TitlesOfParts>
  <Company>NETSERVICOS S/A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VALDEMIR</dc:creator>
  <cp:lastModifiedBy>VALDEMIR</cp:lastModifiedBy>
  <dcterms:created xsi:type="dcterms:W3CDTF">2012-05-29T14:02:43Z</dcterms:created>
  <dcterms:modified xsi:type="dcterms:W3CDTF">2012-06-04T19:04:13Z</dcterms:modified>
</cp:coreProperties>
</file>